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l42ben\Desktop\"/>
    </mc:Choice>
  </mc:AlternateContent>
  <bookViews>
    <workbookView xWindow="0" yWindow="0" windowWidth="22824" windowHeight="10260"/>
  </bookViews>
  <sheets>
    <sheet name="CVSS Rating" sheetId="1" r:id="rId1"/>
    <sheet name="CVS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2" i="1" l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L22" i="1" l="1"/>
  <c r="AL21" i="1"/>
  <c r="AL20" i="1"/>
  <c r="AL19" i="1"/>
  <c r="AL18" i="1"/>
  <c r="AL17" i="1"/>
  <c r="AL16" i="1"/>
  <c r="AL15" i="1"/>
  <c r="AL14" i="1"/>
  <c r="AL13" i="1"/>
  <c r="AL12" i="1"/>
  <c r="AL11" i="1"/>
  <c r="AL9" i="1"/>
  <c r="AL6" i="1"/>
  <c r="AB10" i="1" l="1"/>
  <c r="Z10" i="1"/>
  <c r="X10" i="1"/>
  <c r="V10" i="1"/>
  <c r="H10" i="1" s="1"/>
  <c r="T10" i="1"/>
  <c r="R10" i="1"/>
  <c r="P10" i="1"/>
  <c r="N10" i="1"/>
  <c r="L10" i="1"/>
  <c r="J10" i="1"/>
  <c r="F10" i="1"/>
  <c r="D10" i="1"/>
  <c r="AB7" i="1"/>
  <c r="Z7" i="1"/>
  <c r="X7" i="1"/>
  <c r="V7" i="1"/>
  <c r="H7" i="1" s="1"/>
  <c r="T7" i="1"/>
  <c r="R7" i="1"/>
  <c r="P7" i="1"/>
  <c r="N7" i="1"/>
  <c r="L7" i="1"/>
  <c r="J7" i="1"/>
  <c r="F7" i="1"/>
  <c r="D7" i="1"/>
  <c r="AB13" i="1"/>
  <c r="Z13" i="1"/>
  <c r="X13" i="1"/>
  <c r="V13" i="1"/>
  <c r="H13" i="1" s="1"/>
  <c r="T13" i="1"/>
  <c r="R13" i="1"/>
  <c r="P13" i="1"/>
  <c r="N13" i="1"/>
  <c r="L13" i="1"/>
  <c r="J13" i="1"/>
  <c r="F13" i="1"/>
  <c r="D13" i="1"/>
  <c r="AD7" i="1" l="1"/>
  <c r="AD10" i="1"/>
  <c r="AD13" i="1"/>
  <c r="AE7" i="1"/>
  <c r="AE10" i="1"/>
  <c r="AE13" i="1"/>
  <c r="AB12" i="1"/>
  <c r="AB20" i="1"/>
  <c r="AB11" i="1"/>
  <c r="AB4" i="1"/>
  <c r="AB6" i="1"/>
  <c r="AB22" i="1"/>
  <c r="AB5" i="1"/>
  <c r="AB21" i="1"/>
  <c r="AB17" i="1"/>
  <c r="AB3" i="1"/>
  <c r="AB14" i="1"/>
  <c r="AB8" i="1"/>
  <c r="AB18" i="1"/>
  <c r="AB9" i="1"/>
  <c r="AB19" i="1"/>
  <c r="AB15" i="1"/>
  <c r="AB16" i="1"/>
  <c r="Z12" i="1"/>
  <c r="Z20" i="1"/>
  <c r="Z11" i="1"/>
  <c r="Z4" i="1"/>
  <c r="Z6" i="1"/>
  <c r="Z22" i="1"/>
  <c r="Z5" i="1"/>
  <c r="Z21" i="1"/>
  <c r="Z17" i="1"/>
  <c r="Z3" i="1"/>
  <c r="Z14" i="1"/>
  <c r="Z8" i="1"/>
  <c r="Z18" i="1"/>
  <c r="Z9" i="1"/>
  <c r="Z19" i="1"/>
  <c r="Z15" i="1"/>
  <c r="Z16" i="1"/>
  <c r="AC10" i="1" l="1"/>
  <c r="AF10" i="1" s="1"/>
  <c r="AC7" i="1"/>
  <c r="AF7" i="1" s="1"/>
  <c r="AC13" i="1"/>
  <c r="AF13" i="1" s="1"/>
  <c r="AG13" i="1" s="1"/>
  <c r="X12" i="1"/>
  <c r="X20" i="1"/>
  <c r="X11" i="1"/>
  <c r="X19" i="1"/>
  <c r="X14" i="1"/>
  <c r="X4" i="1"/>
  <c r="X17" i="1"/>
  <c r="X6" i="1"/>
  <c r="X22" i="1"/>
  <c r="X18" i="1"/>
  <c r="X15" i="1"/>
  <c r="X16" i="1"/>
  <c r="X9" i="1"/>
  <c r="X8" i="1"/>
  <c r="X5" i="1"/>
  <c r="X3" i="1"/>
  <c r="X21" i="1"/>
  <c r="AG7" i="1" l="1"/>
  <c r="AL7" i="1"/>
  <c r="AG10" i="1"/>
  <c r="AL10" i="1"/>
  <c r="D16" i="1"/>
  <c r="F16" i="1"/>
  <c r="J16" i="1"/>
  <c r="L16" i="1"/>
  <c r="N16" i="1"/>
  <c r="P16" i="1"/>
  <c r="R16" i="1"/>
  <c r="T16" i="1"/>
  <c r="J12" i="1" l="1"/>
  <c r="J20" i="1"/>
  <c r="J11" i="1"/>
  <c r="J19" i="1"/>
  <c r="J14" i="1"/>
  <c r="J4" i="1"/>
  <c r="J17" i="1"/>
  <c r="J6" i="1"/>
  <c r="J15" i="1"/>
  <c r="J22" i="1"/>
  <c r="J5" i="1"/>
  <c r="J21" i="1"/>
  <c r="J18" i="1"/>
  <c r="J3" i="1"/>
  <c r="J9" i="1"/>
  <c r="J8" i="1"/>
  <c r="D12" i="1" l="1"/>
  <c r="D20" i="1"/>
  <c r="D11" i="1"/>
  <c r="D19" i="1"/>
  <c r="D14" i="1"/>
  <c r="D4" i="1"/>
  <c r="D17" i="1"/>
  <c r="D6" i="1"/>
  <c r="D15" i="1"/>
  <c r="D22" i="1"/>
  <c r="D5" i="1"/>
  <c r="D21" i="1"/>
  <c r="D18" i="1"/>
  <c r="D3" i="1"/>
  <c r="D9" i="1"/>
  <c r="V12" i="1" l="1"/>
  <c r="V20" i="1"/>
  <c r="V11" i="1"/>
  <c r="V19" i="1"/>
  <c r="V14" i="1"/>
  <c r="V4" i="1"/>
  <c r="V17" i="1"/>
  <c r="V6" i="1"/>
  <c r="V15" i="1"/>
  <c r="V22" i="1"/>
  <c r="V5" i="1"/>
  <c r="V21" i="1"/>
  <c r="V16" i="1"/>
  <c r="AD16" i="1" s="1"/>
  <c r="V18" i="1"/>
  <c r="V3" i="1"/>
  <c r="V9" i="1"/>
  <c r="V8" i="1"/>
  <c r="H8" i="1" l="1"/>
  <c r="H16" i="1"/>
  <c r="AE16" i="1" s="1"/>
  <c r="H15" i="1"/>
  <c r="H20" i="1"/>
  <c r="H9" i="1"/>
  <c r="H6" i="1"/>
  <c r="H14" i="1"/>
  <c r="H12" i="1"/>
  <c r="H3" i="1"/>
  <c r="H5" i="1"/>
  <c r="H17" i="1"/>
  <c r="H19" i="1"/>
  <c r="H18" i="1"/>
  <c r="H22" i="1"/>
  <c r="H4" i="1"/>
  <c r="H11" i="1"/>
  <c r="H21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T12" i="1"/>
  <c r="R12" i="1"/>
  <c r="P12" i="1"/>
  <c r="N12" i="1"/>
  <c r="L12" i="1"/>
  <c r="F12" i="1"/>
  <c r="D8" i="1"/>
  <c r="T20" i="1"/>
  <c r="T11" i="1"/>
  <c r="T19" i="1"/>
  <c r="T14" i="1"/>
  <c r="T4" i="1"/>
  <c r="T17" i="1"/>
  <c r="T6" i="1"/>
  <c r="T15" i="1"/>
  <c r="T22" i="1"/>
  <c r="T5" i="1"/>
  <c r="T21" i="1"/>
  <c r="T18" i="1"/>
  <c r="T3" i="1"/>
  <c r="T9" i="1"/>
  <c r="T8" i="1"/>
  <c r="R20" i="1"/>
  <c r="R11" i="1"/>
  <c r="R19" i="1"/>
  <c r="R14" i="1"/>
  <c r="R4" i="1"/>
  <c r="R17" i="1"/>
  <c r="R6" i="1"/>
  <c r="R15" i="1"/>
  <c r="R22" i="1"/>
  <c r="R5" i="1"/>
  <c r="R21" i="1"/>
  <c r="R18" i="1"/>
  <c r="R3" i="1"/>
  <c r="R9" i="1"/>
  <c r="R8" i="1"/>
  <c r="P20" i="1"/>
  <c r="P11" i="1"/>
  <c r="P19" i="1"/>
  <c r="P14" i="1"/>
  <c r="P4" i="1"/>
  <c r="P17" i="1"/>
  <c r="P6" i="1"/>
  <c r="P15" i="1"/>
  <c r="P22" i="1"/>
  <c r="P5" i="1"/>
  <c r="P21" i="1"/>
  <c r="P18" i="1"/>
  <c r="P3" i="1"/>
  <c r="P9" i="1"/>
  <c r="P8" i="1"/>
  <c r="N20" i="1"/>
  <c r="N11" i="1"/>
  <c r="N19" i="1"/>
  <c r="N14" i="1"/>
  <c r="N4" i="1"/>
  <c r="N17" i="1"/>
  <c r="N6" i="1"/>
  <c r="N15" i="1"/>
  <c r="N22" i="1"/>
  <c r="N5" i="1"/>
  <c r="N21" i="1"/>
  <c r="N18" i="1"/>
  <c r="N3" i="1"/>
  <c r="N9" i="1"/>
  <c r="N8" i="1"/>
  <c r="L20" i="1"/>
  <c r="L11" i="1"/>
  <c r="L19" i="1"/>
  <c r="L14" i="1"/>
  <c r="L4" i="1"/>
  <c r="L17" i="1"/>
  <c r="L6" i="1"/>
  <c r="L15" i="1"/>
  <c r="L22" i="1"/>
  <c r="L5" i="1"/>
  <c r="L21" i="1"/>
  <c r="L18" i="1"/>
  <c r="L3" i="1"/>
  <c r="L9" i="1"/>
  <c r="L8" i="1"/>
  <c r="F20" i="1"/>
  <c r="F11" i="1"/>
  <c r="F19" i="1"/>
  <c r="F14" i="1"/>
  <c r="F4" i="1"/>
  <c r="F17" i="1"/>
  <c r="F6" i="1"/>
  <c r="F15" i="1"/>
  <c r="F22" i="1"/>
  <c r="F5" i="1"/>
  <c r="F21" i="1"/>
  <c r="F18" i="1"/>
  <c r="F3" i="1"/>
  <c r="F9" i="1"/>
  <c r="F8" i="1"/>
  <c r="AE14" i="1" l="1"/>
  <c r="AE21" i="1"/>
  <c r="AE20" i="1"/>
  <c r="AD18" i="1"/>
  <c r="AD15" i="1"/>
  <c r="AD20" i="1"/>
  <c r="AD9" i="1"/>
  <c r="AD5" i="1"/>
  <c r="AD19" i="1"/>
  <c r="AD8" i="1"/>
  <c r="AD21" i="1"/>
  <c r="AD14" i="1"/>
  <c r="AE15" i="1"/>
  <c r="AE12" i="1"/>
  <c r="AD17" i="1"/>
  <c r="AD3" i="1"/>
  <c r="AD22" i="1"/>
  <c r="AD4" i="1"/>
  <c r="AD11" i="1"/>
  <c r="AD6" i="1"/>
  <c r="AD12" i="1"/>
  <c r="AC16" i="1"/>
  <c r="AF16" i="1" s="1"/>
  <c r="AG16" i="1" s="1"/>
  <c r="AE9" i="1"/>
  <c r="AE6" i="1"/>
  <c r="AE3" i="1"/>
  <c r="AE5" i="1"/>
  <c r="AE17" i="1"/>
  <c r="AE19" i="1"/>
  <c r="AE18" i="1"/>
  <c r="AE22" i="1"/>
  <c r="AE4" i="1"/>
  <c r="AE11" i="1"/>
  <c r="AE8" i="1"/>
  <c r="AC14" i="1" l="1"/>
  <c r="AF14" i="1" s="1"/>
  <c r="AG14" i="1" s="1"/>
  <c r="AC21" i="1"/>
  <c r="AF21" i="1" s="1"/>
  <c r="AG21" i="1" s="1"/>
  <c r="AC20" i="1"/>
  <c r="AF20" i="1" s="1"/>
  <c r="AG20" i="1" s="1"/>
  <c r="AC12" i="1"/>
  <c r="AF12" i="1" s="1"/>
  <c r="AC6" i="1"/>
  <c r="AF6" i="1" s="1"/>
  <c r="AC15" i="1"/>
  <c r="AF15" i="1" s="1"/>
  <c r="AC22" i="1"/>
  <c r="AF22" i="1" s="1"/>
  <c r="AG22" i="1" s="1"/>
  <c r="AC4" i="1"/>
  <c r="AF4" i="1" s="1"/>
  <c r="AC18" i="1"/>
  <c r="AF18" i="1" s="1"/>
  <c r="AG18" i="1" s="1"/>
  <c r="AC3" i="1"/>
  <c r="AF3" i="1" s="1"/>
  <c r="AC8" i="1"/>
  <c r="AF8" i="1" s="1"/>
  <c r="AL8" i="1" s="1"/>
  <c r="AC11" i="1"/>
  <c r="AF11" i="1" s="1"/>
  <c r="AG11" i="1" s="1"/>
  <c r="AC9" i="1"/>
  <c r="AF9" i="1" s="1"/>
  <c r="AG9" i="1" s="1"/>
  <c r="AC17" i="1"/>
  <c r="AF17" i="1" s="1"/>
  <c r="AG17" i="1" s="1"/>
  <c r="AC5" i="1"/>
  <c r="AF5" i="1" s="1"/>
  <c r="AC19" i="1"/>
  <c r="AF19" i="1" s="1"/>
  <c r="AG19" i="1" s="1"/>
  <c r="AL3" i="1" l="1"/>
  <c r="B27" i="1" s="1"/>
  <c r="AM3" i="1"/>
  <c r="AG5" i="1"/>
  <c r="AL5" i="1"/>
  <c r="AG4" i="1"/>
  <c r="AL4" i="1"/>
  <c r="AG12" i="1"/>
  <c r="AG6" i="1"/>
  <c r="AG3" i="1"/>
  <c r="AG8" i="1"/>
  <c r="B25" i="1"/>
  <c r="AG15" i="1"/>
  <c r="B31" i="1" l="1"/>
  <c r="B30" i="1"/>
  <c r="B29" i="1"/>
</calcChain>
</file>

<file path=xl/comments1.xml><?xml version="1.0" encoding="utf-8"?>
<comments xmlns="http://schemas.openxmlformats.org/spreadsheetml/2006/main">
  <authors>
    <author>Todd Benson</author>
  </authors>
  <commentList>
    <comment ref="C2" authorId="0" shapeId="0">
      <text>
        <r>
          <rPr>
            <sz val="9"/>
            <color indexed="81"/>
            <rFont val="Tahoma"/>
            <family val="2"/>
          </rPr>
          <t>Does the attacker exploit the vuln from the network stack? 
Can the vuln be exploited across a router network?
Does the attacker require physical access?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Can the attacker exploit the vulnerability at will?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 xml:space="preserve">Does the </t>
        </r>
        <r>
          <rPr>
            <i/>
            <sz val="9"/>
            <color indexed="81"/>
            <rFont val="Tahoma"/>
            <family val="2"/>
          </rPr>
          <t>attacker</t>
        </r>
        <r>
          <rPr>
            <sz val="9"/>
            <color indexed="81"/>
            <rFont val="Tahoma"/>
            <family val="2"/>
          </rPr>
          <t xml:space="preserve"> need to be authenticate prior to an attack?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 xml:space="preserve">Does the attacker require some other person to perform an action?
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 xml:space="preserve">Is there any impact to confidentiality? Is the disclosed information critical?
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 xml:space="preserve">Is there any impact to integrity? Is the modified information critical?
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Is there any impact to the availability of a resource? Is the resource critical?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Can the attacker affect a component other than the vulnerable component? If so, C, I, A reflects the greater impact.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If a story has been entered into Pivotal Tracker, it is an expected risk.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K2" authorId="0" shapeId="0">
      <text>
        <r>
          <rPr>
            <sz val="9"/>
            <color indexed="81"/>
            <rFont val="Tahoma"/>
            <family val="2"/>
          </rPr>
          <t xml:space="preserve">If the vulnerability exists outside of the control of the development team, it is part of the expected risk.
</t>
        </r>
      </text>
    </comment>
  </commentList>
</comments>
</file>

<file path=xl/sharedStrings.xml><?xml version="1.0" encoding="utf-8"?>
<sst xmlns="http://schemas.openxmlformats.org/spreadsheetml/2006/main" count="398" uniqueCount="54">
  <si>
    <t>Vuln-ID</t>
  </si>
  <si>
    <t>Description</t>
  </si>
  <si>
    <t>Attack Vector</t>
  </si>
  <si>
    <t>Attack Complexity</t>
  </si>
  <si>
    <t>Privileges Required</t>
  </si>
  <si>
    <t>User Interaction</t>
  </si>
  <si>
    <t>Confidentiality</t>
  </si>
  <si>
    <t>Integrity</t>
  </si>
  <si>
    <t>Availability</t>
  </si>
  <si>
    <t>Exploit Code Maturity</t>
  </si>
  <si>
    <t>Report Confidence</t>
  </si>
  <si>
    <t>Network</t>
  </si>
  <si>
    <t>Local</t>
  </si>
  <si>
    <t>Physical</t>
  </si>
  <si>
    <t>Low</t>
  </si>
  <si>
    <t>High</t>
  </si>
  <si>
    <t>None</t>
  </si>
  <si>
    <t>Required</t>
  </si>
  <si>
    <t>Not Defined</t>
  </si>
  <si>
    <t>Functional</t>
  </si>
  <si>
    <t>Proof of Concept</t>
  </si>
  <si>
    <t>Unproven</t>
  </si>
  <si>
    <t>Confirmed</t>
  </si>
  <si>
    <t>Reasonable</t>
  </si>
  <si>
    <t>Unknown</t>
  </si>
  <si>
    <t>Base Score</t>
  </si>
  <si>
    <t>Impact</t>
  </si>
  <si>
    <t>Exploitability</t>
  </si>
  <si>
    <t>Score</t>
  </si>
  <si>
    <t>Adjacent</t>
  </si>
  <si>
    <t>Rating</t>
  </si>
  <si>
    <t>Scope</t>
  </si>
  <si>
    <t>Unchanged</t>
  </si>
  <si>
    <t>Changed</t>
  </si>
  <si>
    <t>Total Risk</t>
  </si>
  <si>
    <t>Medium</t>
  </si>
  <si>
    <t>Not Used:</t>
  </si>
  <si>
    <t>Modified Environmental</t>
  </si>
  <si>
    <t>Remediation Level</t>
  </si>
  <si>
    <t>Changed from CVSS V3:</t>
  </si>
  <si>
    <t>Risk ratings are High, Moderate, and Low</t>
  </si>
  <si>
    <t>Notes</t>
  </si>
  <si>
    <t>Likelihood</t>
  </si>
  <si>
    <t>Confidentiality Requirements</t>
  </si>
  <si>
    <t>Integrity Requirements</t>
  </si>
  <si>
    <t>Availability Requirements</t>
  </si>
  <si>
    <t>Story Written</t>
  </si>
  <si>
    <t>Expected Risk</t>
  </si>
  <si>
    <t>Environmental (Non-Development)</t>
  </si>
  <si>
    <t>Yes</t>
  </si>
  <si>
    <t>No</t>
  </si>
  <si>
    <t>Accepted</t>
  </si>
  <si>
    <t>Expected Risk/Accepted Risk</t>
  </si>
  <si>
    <t>Accepted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</si>
</sst>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2"/>
      <name val="Calibri"/>
      <family val="2"/>
      <scheme val="minor"/>
    </font>
    <font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6" borderId="7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2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6" borderId="7" xfId="0" applyFill="1" applyBorder="1" applyAlignment="1">
      <alignment horizontal="center"/>
    </xf>
    <xf numFmtId="0" fontId="0" fillId="5" borderId="12" xfId="0" applyFill="1" applyBorder="1" applyAlignment="1">
      <alignment horizontal="left"/>
    </xf>
    <xf numFmtId="0" fontId="0" fillId="7" borderId="5" xfId="0" applyNumberFormat="1" applyFill="1" applyBorder="1" applyAlignment="1">
      <alignment horizontal="center"/>
    </xf>
    <xf numFmtId="0" fontId="0" fillId="7" borderId="6" xfId="0" applyNumberFormat="1" applyFill="1" applyBorder="1" applyAlignment="1">
      <alignment horizontal="center"/>
    </xf>
    <xf numFmtId="0" fontId="0" fillId="0" borderId="0" xfId="0" applyNumberFormat="1"/>
    <xf numFmtId="0" fontId="0" fillId="8" borderId="7" xfId="0" applyFill="1" applyBorder="1" applyAlignment="1">
      <alignment horizontal="center" vertical="center"/>
    </xf>
    <xf numFmtId="0" fontId="0" fillId="5" borderId="1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1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14" borderId="15" xfId="0" applyFill="1" applyBorder="1"/>
    <xf numFmtId="0" fontId="3" fillId="0" borderId="0" xfId="0" applyFont="1" applyFill="1" applyBorder="1" applyAlignment="1">
      <alignment horizontal="left"/>
    </xf>
    <xf numFmtId="0" fontId="3" fillId="12" borderId="16" xfId="0" quotePrefix="1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17" xfId="0" applyFont="1" applyFill="1" applyBorder="1" applyAlignment="1">
      <alignment horizontal="center"/>
    </xf>
    <xf numFmtId="0" fontId="0" fillId="0" borderId="0" xfId="0" applyAlignment="1"/>
    <xf numFmtId="0" fontId="4" fillId="9" borderId="5" xfId="0" applyNumberFormat="1" applyFont="1" applyFill="1" applyBorder="1" applyAlignment="1">
      <alignment horizontal="center"/>
    </xf>
    <xf numFmtId="0" fontId="4" fillId="9" borderId="6" xfId="0" applyNumberFormat="1" applyFont="1" applyFill="1" applyBorder="1" applyAlignment="1">
      <alignment horizontal="center"/>
    </xf>
    <xf numFmtId="0" fontId="0" fillId="17" borderId="0" xfId="0" applyNumberFormat="1" applyFill="1"/>
    <xf numFmtId="0" fontId="0" fillId="17" borderId="0" xfId="0" applyFill="1"/>
    <xf numFmtId="0" fontId="0" fillId="0" borderId="0" xfId="0" applyFill="1"/>
    <xf numFmtId="0" fontId="0" fillId="0" borderId="0" xfId="0" applyNumberFormat="1" applyFill="1"/>
    <xf numFmtId="0" fontId="0" fillId="0" borderId="11" xfId="0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7" fillId="17" borderId="18" xfId="0" applyFont="1" applyFill="1" applyBorder="1" applyAlignment="1">
      <alignment horizontal="center"/>
    </xf>
    <xf numFmtId="0" fontId="0" fillId="8" borderId="7" xfId="0" applyNumberFormat="1" applyFill="1" applyBorder="1" applyAlignment="1">
      <alignment horizontal="center" vertical="center" wrapText="1"/>
    </xf>
    <xf numFmtId="0" fontId="0" fillId="8" borderId="7" xfId="0" applyFill="1" applyBorder="1" applyAlignment="1">
      <alignment horizontal="center" vertical="center" wrapText="1"/>
    </xf>
    <xf numFmtId="0" fontId="0" fillId="6" borderId="7" xfId="0" applyFill="1" applyBorder="1" applyAlignment="1">
      <alignment wrapText="1"/>
    </xf>
    <xf numFmtId="0" fontId="8" fillId="6" borderId="7" xfId="0" applyFont="1" applyFill="1" applyBorder="1" applyAlignment="1">
      <alignment wrapText="1"/>
    </xf>
    <xf numFmtId="0" fontId="2" fillId="0" borderId="0" xfId="0" applyFont="1" applyAlignment="1">
      <alignment horizontal="center"/>
    </xf>
    <xf numFmtId="0" fontId="0" fillId="18" borderId="5" xfId="0" applyFill="1" applyBorder="1" applyAlignment="1">
      <alignment horizontal="center"/>
    </xf>
    <xf numFmtId="0" fontId="0" fillId="18" borderId="6" xfId="0" applyFill="1" applyBorder="1" applyAlignment="1">
      <alignment horizontal="center"/>
    </xf>
    <xf numFmtId="0" fontId="0" fillId="14" borderId="15" xfId="0" applyFill="1" applyBorder="1" applyAlignment="1">
      <alignment horizontal="right"/>
    </xf>
    <xf numFmtId="0" fontId="0" fillId="14" borderId="14" xfId="0" applyFill="1" applyBorder="1"/>
    <xf numFmtId="0" fontId="0" fillId="8" borderId="10" xfId="0" applyFill="1" applyBorder="1" applyAlignment="1">
      <alignment horizontal="center" vertical="center" wrapText="1"/>
    </xf>
    <xf numFmtId="0" fontId="0" fillId="19" borderId="0" xfId="0" applyFill="1"/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8" borderId="19" xfId="0" applyFill="1" applyBorder="1" applyAlignment="1">
      <alignment horizontal="center" vertical="center" wrapText="1"/>
    </xf>
    <xf numFmtId="0" fontId="0" fillId="6" borderId="5" xfId="0" applyFill="1" applyBorder="1"/>
    <xf numFmtId="0" fontId="0" fillId="6" borderId="6" xfId="0" applyFill="1" applyBorder="1"/>
    <xf numFmtId="0" fontId="0" fillId="8" borderId="20" xfId="0" applyFill="1" applyBorder="1" applyAlignment="1">
      <alignment horizontal="center" vertical="center" wrapText="1"/>
    </xf>
    <xf numFmtId="0" fontId="0" fillId="8" borderId="7" xfId="0" applyFill="1" applyBorder="1" applyAlignment="1">
      <alignment horizontal="center" vertical="center" wrapText="1"/>
    </xf>
    <xf numFmtId="0" fontId="7" fillId="16" borderId="18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7" fillId="15" borderId="18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 applyAlignment="1"/>
    <xf numFmtId="0" fontId="4" fillId="18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/>
    <xf numFmtId="0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8" borderId="10" xfId="0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0" fontId="0" fillId="18" borderId="5" xfId="0" applyFill="1" applyBorder="1"/>
    <xf numFmtId="0" fontId="0" fillId="18" borderId="6" xfId="0" applyFill="1" applyBorder="1"/>
  </cellXfs>
  <cellStyles count="1">
    <cellStyle name="Normal" xfId="0" builtinId="0"/>
  </cellStyles>
  <dxfs count="3"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FFCC"/>
        </patternFill>
      </fill>
    </dxf>
    <dxf>
      <font>
        <color auto="1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C8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23</xdr:row>
          <xdr:rowOff>167640</xdr:rowOff>
        </xdr:from>
        <xdr:to>
          <xdr:col>8</xdr:col>
          <xdr:colOff>137160</xdr:colOff>
          <xdr:row>24</xdr:row>
          <xdr:rowOff>167640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By Risk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O21" sqref="O21"/>
    </sheetView>
  </sheetViews>
  <sheetFormatPr defaultRowHeight="14.4" x14ac:dyDescent="0.3"/>
  <cols>
    <col min="1" max="1" width="7" bestFit="1" customWidth="1"/>
    <col min="2" max="2" width="56.21875" bestFit="1" customWidth="1"/>
    <col min="3" max="3" width="10.33203125" customWidth="1"/>
    <col min="4" max="4" width="3.6640625" hidden="1" customWidth="1"/>
    <col min="5" max="5" width="9.88671875" customWidth="1"/>
    <col min="6" max="6" width="5.33203125" hidden="1" customWidth="1"/>
    <col min="7" max="7" width="10.109375" customWidth="1"/>
    <col min="8" max="8" width="5.21875" hidden="1" customWidth="1"/>
    <col min="9" max="9" width="9.88671875" customWidth="1"/>
    <col min="10" max="10" width="5" hidden="1" customWidth="1"/>
    <col min="11" max="11" width="14" customWidth="1"/>
    <col min="12" max="12" width="5.33203125" hidden="1" customWidth="1"/>
    <col min="13" max="13" width="10.6640625" customWidth="1"/>
    <col min="14" max="14" width="5.21875" hidden="1" customWidth="1"/>
    <col min="15" max="15" width="12.21875" customWidth="1"/>
    <col min="16" max="16" width="5.21875" hidden="1" customWidth="1"/>
    <col min="17" max="17" width="15.77734375" customWidth="1"/>
    <col min="18" max="18" width="4.6640625" hidden="1" customWidth="1"/>
    <col min="19" max="19" width="13.109375" customWidth="1"/>
    <col min="20" max="20" width="5.21875" hidden="1" customWidth="1"/>
    <col min="21" max="21" width="14.77734375" customWidth="1"/>
    <col min="22" max="22" width="12.109375" hidden="1" customWidth="1"/>
    <col min="23" max="23" width="10" hidden="1" customWidth="1"/>
    <col min="24" max="24" width="6.88671875" hidden="1" customWidth="1"/>
    <col min="25" max="25" width="9.21875" hidden="1" customWidth="1"/>
    <col min="26" max="26" width="6.109375" hidden="1" customWidth="1"/>
    <col min="27" max="27" width="10.44140625" hidden="1" customWidth="1"/>
    <col min="28" max="28" width="4.5546875" hidden="1" customWidth="1"/>
    <col min="29" max="29" width="9.21875" style="19" hidden="1" customWidth="1"/>
    <col min="30" max="30" width="11" style="19" hidden="1" customWidth="1"/>
    <col min="31" max="31" width="12" style="19" hidden="1" customWidth="1"/>
    <col min="32" max="32" width="8.88671875" style="19"/>
    <col min="33" max="33" width="11.21875" customWidth="1"/>
    <col min="34" max="34" width="47.6640625" customWidth="1"/>
    <col min="35" max="36" width="11.21875" customWidth="1"/>
    <col min="37" max="37" width="14" customWidth="1"/>
    <col min="38" max="38" width="8.88671875" hidden="1" customWidth="1"/>
    <col min="39" max="39" width="0" hidden="1" customWidth="1"/>
  </cols>
  <sheetData>
    <row r="1" spans="1:39" x14ac:dyDescent="0.3">
      <c r="A1" s="47"/>
      <c r="B1" s="47"/>
      <c r="C1" s="74" t="s">
        <v>42</v>
      </c>
      <c r="D1" s="75"/>
      <c r="E1" s="75"/>
      <c r="F1" s="75"/>
      <c r="G1" s="75"/>
      <c r="H1" s="75"/>
      <c r="I1" s="75"/>
      <c r="J1" s="76"/>
      <c r="K1" s="72" t="s">
        <v>26</v>
      </c>
      <c r="L1" s="75"/>
      <c r="M1" s="75"/>
      <c r="N1" s="75"/>
      <c r="O1" s="75"/>
      <c r="P1" s="76"/>
      <c r="Q1" s="74" t="s">
        <v>42</v>
      </c>
      <c r="R1" s="75"/>
      <c r="S1" s="75"/>
      <c r="T1" s="76"/>
      <c r="U1" s="72" t="s">
        <v>26</v>
      </c>
      <c r="V1" s="73"/>
      <c r="W1" s="73"/>
      <c r="X1" s="73"/>
      <c r="Y1" s="73"/>
      <c r="Z1" s="73"/>
      <c r="AA1" s="73"/>
      <c r="AB1" s="73"/>
      <c r="AC1" s="53"/>
      <c r="AD1" s="46"/>
      <c r="AE1" s="46"/>
      <c r="AF1" s="46"/>
      <c r="AG1" s="47"/>
      <c r="AH1" s="47"/>
      <c r="AI1" s="77" t="s">
        <v>47</v>
      </c>
      <c r="AJ1" s="77"/>
      <c r="AK1" s="78"/>
      <c r="AL1" s="79"/>
      <c r="AM1" s="79"/>
    </row>
    <row r="2" spans="1:39" ht="51" customHeight="1" x14ac:dyDescent="0.3">
      <c r="A2" s="4" t="s">
        <v>0</v>
      </c>
      <c r="B2" s="4" t="s">
        <v>1</v>
      </c>
      <c r="C2" s="71" t="s">
        <v>2</v>
      </c>
      <c r="D2" s="71"/>
      <c r="E2" s="71" t="s">
        <v>3</v>
      </c>
      <c r="F2" s="71"/>
      <c r="G2" s="71" t="s">
        <v>4</v>
      </c>
      <c r="H2" s="71"/>
      <c r="I2" s="71" t="s">
        <v>5</v>
      </c>
      <c r="J2" s="71"/>
      <c r="K2" s="71" t="s">
        <v>6</v>
      </c>
      <c r="L2" s="71"/>
      <c r="M2" s="71" t="s">
        <v>7</v>
      </c>
      <c r="N2" s="71"/>
      <c r="O2" s="71" t="s">
        <v>8</v>
      </c>
      <c r="P2" s="71"/>
      <c r="Q2" s="82" t="s">
        <v>9</v>
      </c>
      <c r="R2" s="84"/>
      <c r="S2" s="82" t="s">
        <v>10</v>
      </c>
      <c r="T2" s="84"/>
      <c r="U2" s="82" t="s">
        <v>31</v>
      </c>
      <c r="V2" s="83"/>
      <c r="W2" s="82" t="s">
        <v>43</v>
      </c>
      <c r="X2" s="84"/>
      <c r="Y2" s="82" t="s">
        <v>44</v>
      </c>
      <c r="Z2" s="84"/>
      <c r="AA2" s="82" t="s">
        <v>45</v>
      </c>
      <c r="AB2" s="84"/>
      <c r="AC2" s="54" t="s">
        <v>25</v>
      </c>
      <c r="AD2" s="54" t="s">
        <v>26</v>
      </c>
      <c r="AE2" s="54" t="s">
        <v>27</v>
      </c>
      <c r="AF2" s="54" t="s">
        <v>28</v>
      </c>
      <c r="AG2" s="55" t="s">
        <v>30</v>
      </c>
      <c r="AH2" s="20" t="s">
        <v>41</v>
      </c>
      <c r="AI2" s="63" t="s">
        <v>46</v>
      </c>
      <c r="AJ2" s="63" t="s">
        <v>51</v>
      </c>
      <c r="AK2" s="67" t="s">
        <v>48</v>
      </c>
      <c r="AL2" s="70" t="s">
        <v>47</v>
      </c>
      <c r="AM2" s="70" t="s">
        <v>53</v>
      </c>
    </row>
    <row r="3" spans="1:39" x14ac:dyDescent="0.3">
      <c r="A3" s="15">
        <v>1</v>
      </c>
      <c r="B3" s="56"/>
      <c r="C3" s="5" t="s">
        <v>11</v>
      </c>
      <c r="D3" s="6">
        <f>LOOKUP(C3,CVSS!$B$2:$B$5,CVSS!$C$2:$C$5)</f>
        <v>0.85</v>
      </c>
      <c r="E3" s="7" t="s">
        <v>14</v>
      </c>
      <c r="F3" s="8">
        <f>LOOKUP(E3,CVSS!$E$3:$E$5,CVSS!$F$3:$F$5)</f>
        <v>0.77</v>
      </c>
      <c r="G3" s="9" t="s">
        <v>16</v>
      </c>
      <c r="H3" s="6">
        <f ca="1">IF(V3=FALSE,LOOKUP(G3,CVSS!$H$3:$H$5,CVSS!$I$3:$I7),LOOKUP(G3,CVSS!$H$15:$I$17))</f>
        <v>0.85</v>
      </c>
      <c r="I3" s="7" t="s">
        <v>16</v>
      </c>
      <c r="J3" s="8">
        <f>LOOKUP(I3,CVSS!$K$3:$L$4)</f>
        <v>0.85</v>
      </c>
      <c r="K3" s="9" t="s">
        <v>14</v>
      </c>
      <c r="L3" s="6">
        <f>LOOKUP(K3,CVSS!$B$10:$C$12)</f>
        <v>0.22</v>
      </c>
      <c r="M3" s="7" t="s">
        <v>16</v>
      </c>
      <c r="N3" s="8">
        <f>LOOKUP(M3,CVSS!$E$10:$F$12)</f>
        <v>0</v>
      </c>
      <c r="O3" s="9" t="s">
        <v>16</v>
      </c>
      <c r="P3" s="6">
        <f>LOOKUP(O3,CVSS!$H$10:$I$12)</f>
        <v>0</v>
      </c>
      <c r="Q3" s="7" t="s">
        <v>18</v>
      </c>
      <c r="R3" s="8">
        <f>LOOKUP(Q3,CVSS!$B$16:$C$20)</f>
        <v>1</v>
      </c>
      <c r="S3" s="9" t="s">
        <v>22</v>
      </c>
      <c r="T3" s="6">
        <f>LOOKUP(S3,CVSS!$E$16:$F$19)</f>
        <v>1</v>
      </c>
      <c r="U3" s="30" t="s">
        <v>32</v>
      </c>
      <c r="V3" s="24" t="b">
        <f>LOOKUP(U3,CVSS!$K$10:$L$11)</f>
        <v>0</v>
      </c>
      <c r="W3" s="23" t="s">
        <v>35</v>
      </c>
      <c r="X3" s="16">
        <f>LOOKUP(W3,CVSS!$B$23:$C$26)</f>
        <v>1</v>
      </c>
      <c r="Y3" s="50" t="s">
        <v>35</v>
      </c>
      <c r="Z3" s="24">
        <f>LOOKUP(Y3,CVSS!$B$23:$C$26)</f>
        <v>1</v>
      </c>
      <c r="AA3" s="23" t="s">
        <v>35</v>
      </c>
      <c r="AB3" s="16">
        <f>LOOKUP(AA3,CVSS!$B$23:$C$26)</f>
        <v>1</v>
      </c>
      <c r="AC3" s="17">
        <f t="shared" ref="AC3:AC22" ca="1" si="0">ROUNDUP(IF(V3=FALSE,AD3+AE3,1.08*(AD3+AE3)),1)</f>
        <v>5.3</v>
      </c>
      <c r="AD3" s="17">
        <f t="shared" ref="AD3:AD15" si="1">IF(V3=FALSE,6.42*(1-(1-L3*X3)*(1-N3*X3)*(1-P3*X3)),7.52 *( (1-(1-L3*X3)*(1-N3*X3)*(1-P3*X3)) -0.029) -3.25 *( (1-(1-L3*X3)*(1-N3*X3)*(1-P3*X3)) -0.02)^15)</f>
        <v>1.4123999999999999</v>
      </c>
      <c r="AE3" s="17">
        <f t="shared" ref="AE3:AE22" ca="1" si="2">8.22*D3*F3*H3*J3</f>
        <v>3.8870427750000003</v>
      </c>
      <c r="AF3" s="44">
        <f t="shared" ref="AF3:AF22" si="3">IF(B3 &lt;&gt; "",MIN(ROUNDUP((AC3*R3*T3),1),10),0)</f>
        <v>0</v>
      </c>
      <c r="AG3" s="33" t="str">
        <f t="shared" ref="AG3:AG22" si="4">IF(AF3&gt;=7,"High",IF(AF3&gt;=4,"Moderate",IF(AF3&gt;0,"Low","None")))</f>
        <v>None</v>
      </c>
      <c r="AH3" s="38"/>
      <c r="AI3" s="59" t="s">
        <v>50</v>
      </c>
      <c r="AJ3" s="65" t="s">
        <v>50</v>
      </c>
      <c r="AK3" s="59" t="s">
        <v>50</v>
      </c>
      <c r="AL3" s="68">
        <f>IF(OR(AI3="Yes",AJ3="Yes",AK3="Yes"),AF3,0)</f>
        <v>0</v>
      </c>
      <c r="AM3" s="85">
        <f>IF(AJ3="Yes",AF3,0)</f>
        <v>0</v>
      </c>
    </row>
    <row r="4" spans="1:39" x14ac:dyDescent="0.3">
      <c r="A4" s="15">
        <f>A3+1</f>
        <v>2</v>
      </c>
      <c r="B4" s="56"/>
      <c r="C4" s="5" t="s">
        <v>11</v>
      </c>
      <c r="D4" s="6">
        <f>LOOKUP(C4,CVSS!$B$2:$B$5,CVSS!$C$2:$C$5)</f>
        <v>0.85</v>
      </c>
      <c r="E4" s="7" t="s">
        <v>14</v>
      </c>
      <c r="F4" s="8">
        <f>LOOKUP(E4,CVSS!$E$3:$E$5,CVSS!$F$3:$F$5)</f>
        <v>0.77</v>
      </c>
      <c r="G4" s="9" t="s">
        <v>16</v>
      </c>
      <c r="H4" s="6">
        <f ca="1">IF(V4=FALSE,LOOKUP(G4,CVSS!$H$3:$H$5,CVSS!$I$3:$I16),LOOKUP(G4,CVSS!$H$15:$I$17))</f>
        <v>0.85</v>
      </c>
      <c r="I4" s="7" t="s">
        <v>16</v>
      </c>
      <c r="J4" s="8">
        <f>LOOKUP(I4,CVSS!$K$3:$L$4)</f>
        <v>0.85</v>
      </c>
      <c r="K4" s="9" t="s">
        <v>14</v>
      </c>
      <c r="L4" s="6">
        <f>LOOKUP(K4,CVSS!$B$10:$C$12)</f>
        <v>0.22</v>
      </c>
      <c r="M4" s="7" t="s">
        <v>16</v>
      </c>
      <c r="N4" s="8">
        <f>LOOKUP(M4,CVSS!$E$10:$F$12)</f>
        <v>0</v>
      </c>
      <c r="O4" s="9" t="s">
        <v>16</v>
      </c>
      <c r="P4" s="6">
        <f>LOOKUP(O4,CVSS!$H$10:$I$12)</f>
        <v>0</v>
      </c>
      <c r="Q4" s="7" t="s">
        <v>18</v>
      </c>
      <c r="R4" s="8">
        <f>LOOKUP(Q4,CVSS!$B$16:$C$20)</f>
        <v>1</v>
      </c>
      <c r="S4" s="9" t="s">
        <v>22</v>
      </c>
      <c r="T4" s="6">
        <f>LOOKUP(S4,CVSS!$E$16:$F$19)</f>
        <v>1</v>
      </c>
      <c r="U4" s="31" t="s">
        <v>32</v>
      </c>
      <c r="V4" s="25" t="b">
        <f>LOOKUP(U4,CVSS!$K$10:$L$11)</f>
        <v>0</v>
      </c>
      <c r="W4" s="21" t="s">
        <v>35</v>
      </c>
      <c r="X4" s="6">
        <f>LOOKUP(W4,CVSS!$B$23:$C$26)</f>
        <v>1</v>
      </c>
      <c r="Y4" s="51" t="s">
        <v>35</v>
      </c>
      <c r="Z4" s="25">
        <f>LOOKUP(Y4,CVSS!$B$23:$C$26)</f>
        <v>1</v>
      </c>
      <c r="AA4" s="21" t="s">
        <v>35</v>
      </c>
      <c r="AB4" s="6">
        <f>LOOKUP(AA4,CVSS!$B$23:$C$26)</f>
        <v>1</v>
      </c>
      <c r="AC4" s="17">
        <f t="shared" ca="1" si="0"/>
        <v>5.3</v>
      </c>
      <c r="AD4" s="17">
        <f t="shared" si="1"/>
        <v>1.4123999999999999</v>
      </c>
      <c r="AE4" s="17">
        <f t="shared" ca="1" si="2"/>
        <v>3.8870427750000003</v>
      </c>
      <c r="AF4" s="44">
        <f t="shared" si="3"/>
        <v>0</v>
      </c>
      <c r="AG4" s="33" t="str">
        <f t="shared" si="4"/>
        <v>None</v>
      </c>
      <c r="AH4" s="38"/>
      <c r="AI4" s="59" t="s">
        <v>50</v>
      </c>
      <c r="AJ4" s="65" t="s">
        <v>50</v>
      </c>
      <c r="AK4" s="59" t="s">
        <v>50</v>
      </c>
      <c r="AL4" s="68">
        <f t="shared" ref="AL4:AL22" si="5">IF(OR(AI4="Yes",AJ4="Yes",AK4="Yes"),AF4,0)</f>
        <v>0</v>
      </c>
      <c r="AM4" s="85">
        <f t="shared" ref="AM4:AM22" si="6">IF(AJ4="Yes",AF4,0)</f>
        <v>0</v>
      </c>
    </row>
    <row r="5" spans="1:39" x14ac:dyDescent="0.3">
      <c r="A5" s="15">
        <f t="shared" ref="A5:A21" si="7">A4+1</f>
        <v>3</v>
      </c>
      <c r="B5" s="56"/>
      <c r="C5" s="5" t="s">
        <v>11</v>
      </c>
      <c r="D5" s="6">
        <f>LOOKUP(C5,CVSS!$B$2:$B$5,CVSS!$C$2:$C$5)</f>
        <v>0.85</v>
      </c>
      <c r="E5" s="7" t="s">
        <v>14</v>
      </c>
      <c r="F5" s="8">
        <f>LOOKUP(E5,CVSS!$E$3:$E$5,CVSS!$F$3:$F$5)</f>
        <v>0.77</v>
      </c>
      <c r="G5" s="9" t="s">
        <v>16</v>
      </c>
      <c r="H5" s="6">
        <f ca="1">IF(V5=FALSE,LOOKUP(G5,CVSS!$H$3:$H$5,CVSS!$I$3:$I11),LOOKUP(G5,CVSS!$H$15:$I$17))</f>
        <v>0.85</v>
      </c>
      <c r="I5" s="7" t="s">
        <v>16</v>
      </c>
      <c r="J5" s="8">
        <f>LOOKUP(I5,CVSS!$K$3:$L$4)</f>
        <v>0.85</v>
      </c>
      <c r="K5" s="9" t="s">
        <v>14</v>
      </c>
      <c r="L5" s="6">
        <f>LOOKUP(K5,CVSS!$B$10:$C$12)</f>
        <v>0.22</v>
      </c>
      <c r="M5" s="7" t="s">
        <v>16</v>
      </c>
      <c r="N5" s="8">
        <f>LOOKUP(M5,CVSS!$E$10:$F$12)</f>
        <v>0</v>
      </c>
      <c r="O5" s="9" t="s">
        <v>16</v>
      </c>
      <c r="P5" s="6">
        <f>LOOKUP(O5,CVSS!$H$10:$I$12)</f>
        <v>0</v>
      </c>
      <c r="Q5" s="7" t="s">
        <v>18</v>
      </c>
      <c r="R5" s="8">
        <f>LOOKUP(Q5,CVSS!$B$16:$C$20)</f>
        <v>1</v>
      </c>
      <c r="S5" s="9" t="s">
        <v>22</v>
      </c>
      <c r="T5" s="6">
        <f>LOOKUP(S5,CVSS!$E$16:$F$19)</f>
        <v>1</v>
      </c>
      <c r="U5" s="31" t="s">
        <v>32</v>
      </c>
      <c r="V5" s="25" t="b">
        <f>LOOKUP(U5,CVSS!$K$10:$L$11)</f>
        <v>0</v>
      </c>
      <c r="W5" s="21" t="s">
        <v>35</v>
      </c>
      <c r="X5" s="6">
        <f>LOOKUP(W5,CVSS!$B$23:$C$26)</f>
        <v>1</v>
      </c>
      <c r="Y5" s="51" t="s">
        <v>35</v>
      </c>
      <c r="Z5" s="25">
        <f>LOOKUP(Y5,CVSS!$B$23:$C$26)</f>
        <v>1</v>
      </c>
      <c r="AA5" s="21" t="s">
        <v>35</v>
      </c>
      <c r="AB5" s="6">
        <f>LOOKUP(AA5,CVSS!$B$23:$C$26)</f>
        <v>1</v>
      </c>
      <c r="AC5" s="17">
        <f t="shared" ca="1" si="0"/>
        <v>5.3</v>
      </c>
      <c r="AD5" s="17">
        <f t="shared" si="1"/>
        <v>1.4123999999999999</v>
      </c>
      <c r="AE5" s="17">
        <f t="shared" ca="1" si="2"/>
        <v>3.8870427750000003</v>
      </c>
      <c r="AF5" s="44">
        <f t="shared" si="3"/>
        <v>0</v>
      </c>
      <c r="AG5" s="33" t="str">
        <f t="shared" si="4"/>
        <v>None</v>
      </c>
      <c r="AH5" s="38"/>
      <c r="AI5" s="59" t="s">
        <v>50</v>
      </c>
      <c r="AJ5" s="65" t="s">
        <v>50</v>
      </c>
      <c r="AK5" s="59" t="s">
        <v>50</v>
      </c>
      <c r="AL5" s="68">
        <f t="shared" si="5"/>
        <v>0</v>
      </c>
      <c r="AM5" s="85">
        <f t="shared" si="6"/>
        <v>0</v>
      </c>
    </row>
    <row r="6" spans="1:39" x14ac:dyDescent="0.3">
      <c r="A6" s="15">
        <f t="shared" si="7"/>
        <v>4</v>
      </c>
      <c r="B6" s="56"/>
      <c r="C6" s="5" t="s">
        <v>11</v>
      </c>
      <c r="D6" s="6">
        <f>LOOKUP(C6,CVSS!$B$2:$B$5,CVSS!$C$2:$C$5)</f>
        <v>0.85</v>
      </c>
      <c r="E6" s="7" t="s">
        <v>14</v>
      </c>
      <c r="F6" s="8">
        <f>LOOKUP(E6,CVSS!$E$3:$E$5,CVSS!$F$3:$F$5)</f>
        <v>0.77</v>
      </c>
      <c r="G6" s="9" t="s">
        <v>16</v>
      </c>
      <c r="H6" s="6">
        <f ca="1">IF(V6=FALSE,LOOKUP(G6,CVSS!$H$3:$H$5,CVSS!$I$3:$I14),LOOKUP(G6,CVSS!$H$15:$I$17))</f>
        <v>0.85</v>
      </c>
      <c r="I6" s="7" t="s">
        <v>16</v>
      </c>
      <c r="J6" s="8">
        <f>LOOKUP(I6,CVSS!$K$3:$L$4)</f>
        <v>0.85</v>
      </c>
      <c r="K6" s="9" t="s">
        <v>14</v>
      </c>
      <c r="L6" s="6">
        <f>LOOKUP(K6,CVSS!$B$10:$C$12)</f>
        <v>0.22</v>
      </c>
      <c r="M6" s="7" t="s">
        <v>16</v>
      </c>
      <c r="N6" s="8">
        <f>LOOKUP(M6,CVSS!$E$10:$F$12)</f>
        <v>0</v>
      </c>
      <c r="O6" s="9" t="s">
        <v>16</v>
      </c>
      <c r="P6" s="6">
        <f>LOOKUP(O6,CVSS!$H$10:$I$12)</f>
        <v>0</v>
      </c>
      <c r="Q6" s="7" t="s">
        <v>18</v>
      </c>
      <c r="R6" s="8">
        <f>LOOKUP(Q6,CVSS!$B$16:$C$20)</f>
        <v>1</v>
      </c>
      <c r="S6" s="9" t="s">
        <v>22</v>
      </c>
      <c r="T6" s="6">
        <f>LOOKUP(S6,CVSS!$E$16:$F$19)</f>
        <v>1</v>
      </c>
      <c r="U6" s="31" t="s">
        <v>32</v>
      </c>
      <c r="V6" s="25" t="b">
        <f>LOOKUP(U6,CVSS!$K$10:$L$11)</f>
        <v>0</v>
      </c>
      <c r="W6" s="21" t="s">
        <v>35</v>
      </c>
      <c r="X6" s="6">
        <f>LOOKUP(W6,CVSS!$B$23:$C$26)</f>
        <v>1</v>
      </c>
      <c r="Y6" s="51" t="s">
        <v>35</v>
      </c>
      <c r="Z6" s="25">
        <f>LOOKUP(Y6,CVSS!$B$23:$C$26)</f>
        <v>1</v>
      </c>
      <c r="AA6" s="21" t="s">
        <v>35</v>
      </c>
      <c r="AB6" s="6">
        <f>LOOKUP(AA6,CVSS!$B$23:$C$26)</f>
        <v>1</v>
      </c>
      <c r="AC6" s="17">
        <f t="shared" ca="1" si="0"/>
        <v>5.3</v>
      </c>
      <c r="AD6" s="17">
        <f t="shared" si="1"/>
        <v>1.4123999999999999</v>
      </c>
      <c r="AE6" s="17">
        <f t="shared" ca="1" si="2"/>
        <v>3.8870427750000003</v>
      </c>
      <c r="AF6" s="44">
        <f t="shared" si="3"/>
        <v>0</v>
      </c>
      <c r="AG6" s="33" t="str">
        <f t="shared" si="4"/>
        <v>None</v>
      </c>
      <c r="AH6" s="61"/>
      <c r="AI6" s="59" t="s">
        <v>50</v>
      </c>
      <c r="AJ6" s="65" t="s">
        <v>50</v>
      </c>
      <c r="AK6" s="59" t="s">
        <v>50</v>
      </c>
      <c r="AL6" s="68">
        <f t="shared" si="5"/>
        <v>0</v>
      </c>
      <c r="AM6" s="85">
        <f t="shared" si="6"/>
        <v>0</v>
      </c>
    </row>
    <row r="7" spans="1:39" x14ac:dyDescent="0.3">
      <c r="A7" s="15">
        <f t="shared" si="7"/>
        <v>5</v>
      </c>
      <c r="B7" s="56"/>
      <c r="C7" s="5" t="s">
        <v>11</v>
      </c>
      <c r="D7" s="6">
        <f>LOOKUP(C7,CVSS!$B$2:$B$5,CVSS!$C$2:$C$5)</f>
        <v>0.85</v>
      </c>
      <c r="E7" s="7" t="s">
        <v>14</v>
      </c>
      <c r="F7" s="8">
        <f>LOOKUP(E7,CVSS!$E$3:$E$5,CVSS!$F$3:$F$5)</f>
        <v>0.77</v>
      </c>
      <c r="G7" s="9" t="s">
        <v>16</v>
      </c>
      <c r="H7" s="6">
        <f ca="1">IF(V7=FALSE,LOOKUP(G7,CVSS!$H$3:$H$5,CVSS!$I$3:$I24),LOOKUP(G7,CVSS!$H$15:$I$17))</f>
        <v>0.85</v>
      </c>
      <c r="I7" s="7" t="s">
        <v>16</v>
      </c>
      <c r="J7" s="8">
        <f>LOOKUP(I7,CVSS!$K$3:$L$4)</f>
        <v>0.85</v>
      </c>
      <c r="K7" s="9" t="s">
        <v>14</v>
      </c>
      <c r="L7" s="6">
        <f>LOOKUP(K7,CVSS!$B$10:$C$12)</f>
        <v>0.22</v>
      </c>
      <c r="M7" s="7" t="s">
        <v>16</v>
      </c>
      <c r="N7" s="8">
        <f>LOOKUP(M7,CVSS!$E$10:$F$12)</f>
        <v>0</v>
      </c>
      <c r="O7" s="9" t="s">
        <v>16</v>
      </c>
      <c r="P7" s="6">
        <f>LOOKUP(O7,CVSS!$H$10:$I$12)</f>
        <v>0</v>
      </c>
      <c r="Q7" s="7" t="s">
        <v>18</v>
      </c>
      <c r="R7" s="8">
        <f>LOOKUP(Q7,CVSS!$B$16:$C$20)</f>
        <v>1</v>
      </c>
      <c r="S7" s="9" t="s">
        <v>22</v>
      </c>
      <c r="T7" s="6">
        <f>LOOKUP(S7,CVSS!$E$16:$F$19)</f>
        <v>1</v>
      </c>
      <c r="U7" s="31" t="s">
        <v>32</v>
      </c>
      <c r="V7" s="25" t="b">
        <f>LOOKUP(U7,CVSS!$K$10:$L$11)</f>
        <v>0</v>
      </c>
      <c r="W7" s="21" t="s">
        <v>35</v>
      </c>
      <c r="X7" s="6">
        <f>LOOKUP(W7,CVSS!$B$23:$C$26)</f>
        <v>1</v>
      </c>
      <c r="Y7" s="51" t="s">
        <v>35</v>
      </c>
      <c r="Z7" s="25">
        <f>LOOKUP(Y7,CVSS!$B$23:$C$26)</f>
        <v>1</v>
      </c>
      <c r="AA7" s="21" t="s">
        <v>35</v>
      </c>
      <c r="AB7" s="6">
        <f>LOOKUP(AA7,CVSS!$B$23:$C$26)</f>
        <v>1</v>
      </c>
      <c r="AC7" s="17">
        <f t="shared" ca="1" si="0"/>
        <v>5.3</v>
      </c>
      <c r="AD7" s="17">
        <f t="shared" si="1"/>
        <v>1.4123999999999999</v>
      </c>
      <c r="AE7" s="17">
        <f t="shared" ca="1" si="2"/>
        <v>3.8870427750000003</v>
      </c>
      <c r="AF7" s="44">
        <f t="shared" si="3"/>
        <v>0</v>
      </c>
      <c r="AG7" s="33" t="str">
        <f t="shared" si="4"/>
        <v>None</v>
      </c>
      <c r="AH7" s="38"/>
      <c r="AI7" s="59" t="s">
        <v>50</v>
      </c>
      <c r="AJ7" s="65" t="s">
        <v>50</v>
      </c>
      <c r="AK7" s="59" t="s">
        <v>50</v>
      </c>
      <c r="AL7" s="68">
        <f t="shared" si="5"/>
        <v>0</v>
      </c>
      <c r="AM7" s="85">
        <f t="shared" si="6"/>
        <v>0</v>
      </c>
    </row>
    <row r="8" spans="1:39" x14ac:dyDescent="0.3">
      <c r="A8" s="15">
        <f t="shared" si="7"/>
        <v>6</v>
      </c>
      <c r="B8" s="56"/>
      <c r="C8" s="5" t="s">
        <v>11</v>
      </c>
      <c r="D8" s="6">
        <f>LOOKUP(C8,CVSS!$B$2:$B$5,CVSS!$C$2:$C$5)</f>
        <v>0.85</v>
      </c>
      <c r="E8" s="7" t="s">
        <v>14</v>
      </c>
      <c r="F8" s="8">
        <f>LOOKUP(E8,CVSS!$E$3:$E$5,CVSS!$F$3:$F$5)</f>
        <v>0.77</v>
      </c>
      <c r="G8" s="9" t="s">
        <v>16</v>
      </c>
      <c r="H8" s="6">
        <f>IF(V8=FALSE,LOOKUP(G8,CVSS!$H$3:$H$5,CVSS!$I$3:$I5),LOOKUP(G8,CVSS!$H$15:$I$17))</f>
        <v>0.85</v>
      </c>
      <c r="I8" s="7" t="s">
        <v>16</v>
      </c>
      <c r="J8" s="8">
        <f>LOOKUP(I8,CVSS!$K$3:$L$4)</f>
        <v>0.85</v>
      </c>
      <c r="K8" s="9" t="s">
        <v>14</v>
      </c>
      <c r="L8" s="6">
        <f>LOOKUP(K8,CVSS!$B$10:$C$12)</f>
        <v>0.22</v>
      </c>
      <c r="M8" s="7" t="s">
        <v>16</v>
      </c>
      <c r="N8" s="8">
        <f>LOOKUP(M8,CVSS!$E$10:$F$12)</f>
        <v>0</v>
      </c>
      <c r="O8" s="9" t="s">
        <v>16</v>
      </c>
      <c r="P8" s="6">
        <f>LOOKUP(O8,CVSS!$H$10:$I$12)</f>
        <v>0</v>
      </c>
      <c r="Q8" s="7" t="s">
        <v>18</v>
      </c>
      <c r="R8" s="8">
        <f>LOOKUP(Q8,CVSS!$B$16:$C$20)</f>
        <v>1</v>
      </c>
      <c r="S8" s="9" t="s">
        <v>22</v>
      </c>
      <c r="T8" s="6">
        <f>LOOKUP(S8,CVSS!$E$16:$F$19)</f>
        <v>1</v>
      </c>
      <c r="U8" s="31" t="s">
        <v>32</v>
      </c>
      <c r="V8" s="25" t="b">
        <f>LOOKUP(U8,CVSS!$K$10:$L$11)</f>
        <v>0</v>
      </c>
      <c r="W8" s="21" t="s">
        <v>35</v>
      </c>
      <c r="X8" s="6">
        <f>LOOKUP(W8,CVSS!$B$23:$C$26)</f>
        <v>1</v>
      </c>
      <c r="Y8" s="51" t="s">
        <v>35</v>
      </c>
      <c r="Z8" s="25">
        <f>LOOKUP(Y8,CVSS!$B$23:$C$26)</f>
        <v>1</v>
      </c>
      <c r="AA8" s="21" t="s">
        <v>35</v>
      </c>
      <c r="AB8" s="6">
        <f>LOOKUP(AA8,CVSS!$B$23:$C$26)</f>
        <v>1</v>
      </c>
      <c r="AC8" s="17">
        <f t="shared" si="0"/>
        <v>5.3</v>
      </c>
      <c r="AD8" s="17">
        <f t="shared" si="1"/>
        <v>1.4123999999999999</v>
      </c>
      <c r="AE8" s="17">
        <f t="shared" si="2"/>
        <v>3.8870427750000003</v>
      </c>
      <c r="AF8" s="44">
        <f t="shared" si="3"/>
        <v>0</v>
      </c>
      <c r="AG8" s="33" t="str">
        <f t="shared" si="4"/>
        <v>None</v>
      </c>
      <c r="AH8" s="38"/>
      <c r="AI8" s="59" t="s">
        <v>50</v>
      </c>
      <c r="AJ8" s="65" t="s">
        <v>50</v>
      </c>
      <c r="AK8" s="59" t="s">
        <v>50</v>
      </c>
      <c r="AL8" s="68">
        <f t="shared" si="5"/>
        <v>0</v>
      </c>
      <c r="AM8" s="85">
        <f t="shared" si="6"/>
        <v>0</v>
      </c>
    </row>
    <row r="9" spans="1:39" x14ac:dyDescent="0.3">
      <c r="A9" s="15">
        <f t="shared" si="7"/>
        <v>7</v>
      </c>
      <c r="B9" s="56"/>
      <c r="C9" s="5" t="s">
        <v>11</v>
      </c>
      <c r="D9" s="6">
        <f>LOOKUP(C9,CVSS!$B$2:$B$5,CVSS!$C$2:$C$5)</f>
        <v>0.85</v>
      </c>
      <c r="E9" s="7" t="s">
        <v>14</v>
      </c>
      <c r="F9" s="8">
        <f>LOOKUP(E9,CVSS!$E$3:$E$5,CVSS!$F$3:$F$5)</f>
        <v>0.77</v>
      </c>
      <c r="G9" s="9" t="s">
        <v>16</v>
      </c>
      <c r="H9" s="6">
        <f ca="1">IF(V9=FALSE,LOOKUP(G9,CVSS!$H$3:$H$5,CVSS!$I$3:$I6),LOOKUP(G9,CVSS!$H$15:$I$17))</f>
        <v>0.85</v>
      </c>
      <c r="I9" s="7" t="s">
        <v>16</v>
      </c>
      <c r="J9" s="8">
        <f>LOOKUP(I9,CVSS!$K$3:$L$4)</f>
        <v>0.85</v>
      </c>
      <c r="K9" s="9" t="s">
        <v>14</v>
      </c>
      <c r="L9" s="6">
        <f>LOOKUP(K9,CVSS!$B$10:$C$12)</f>
        <v>0.22</v>
      </c>
      <c r="M9" s="7" t="s">
        <v>16</v>
      </c>
      <c r="N9" s="8">
        <f>LOOKUP(M9,CVSS!$E$10:$F$12)</f>
        <v>0</v>
      </c>
      <c r="O9" s="9" t="s">
        <v>16</v>
      </c>
      <c r="P9" s="6">
        <f>LOOKUP(O9,CVSS!$H$10:$I$12)</f>
        <v>0</v>
      </c>
      <c r="Q9" s="7" t="s">
        <v>18</v>
      </c>
      <c r="R9" s="8">
        <f>LOOKUP(Q9,CVSS!$B$16:$C$20)</f>
        <v>1</v>
      </c>
      <c r="S9" s="9" t="s">
        <v>22</v>
      </c>
      <c r="T9" s="6">
        <f>LOOKUP(S9,CVSS!$E$16:$F$19)</f>
        <v>1</v>
      </c>
      <c r="U9" s="31" t="s">
        <v>32</v>
      </c>
      <c r="V9" s="25" t="b">
        <f>LOOKUP(U9,CVSS!$K$10:$L$11)</f>
        <v>0</v>
      </c>
      <c r="W9" s="21" t="s">
        <v>35</v>
      </c>
      <c r="X9" s="6">
        <f>LOOKUP(W9,CVSS!$B$23:$C$26)</f>
        <v>1</v>
      </c>
      <c r="Y9" s="51" t="s">
        <v>35</v>
      </c>
      <c r="Z9" s="25">
        <f>LOOKUP(Y9,CVSS!$B$23:$C$26)</f>
        <v>1</v>
      </c>
      <c r="AA9" s="21" t="s">
        <v>35</v>
      </c>
      <c r="AB9" s="6">
        <f>LOOKUP(AA9,CVSS!$B$23:$C$26)</f>
        <v>1</v>
      </c>
      <c r="AC9" s="17">
        <f t="shared" ca="1" si="0"/>
        <v>5.3</v>
      </c>
      <c r="AD9" s="17">
        <f t="shared" si="1"/>
        <v>1.4123999999999999</v>
      </c>
      <c r="AE9" s="17">
        <f t="shared" ca="1" si="2"/>
        <v>3.8870427750000003</v>
      </c>
      <c r="AF9" s="44">
        <f t="shared" si="3"/>
        <v>0</v>
      </c>
      <c r="AG9" s="33" t="str">
        <f t="shared" si="4"/>
        <v>None</v>
      </c>
      <c r="AH9" s="38"/>
      <c r="AI9" s="59" t="s">
        <v>50</v>
      </c>
      <c r="AJ9" s="65" t="s">
        <v>50</v>
      </c>
      <c r="AK9" s="59" t="s">
        <v>50</v>
      </c>
      <c r="AL9" s="68">
        <f t="shared" si="5"/>
        <v>0</v>
      </c>
      <c r="AM9" s="85">
        <f t="shared" si="6"/>
        <v>0</v>
      </c>
    </row>
    <row r="10" spans="1:39" x14ac:dyDescent="0.3">
      <c r="A10" s="15">
        <f t="shared" si="7"/>
        <v>8</v>
      </c>
      <c r="B10" s="56"/>
      <c r="C10" s="5" t="s">
        <v>11</v>
      </c>
      <c r="D10" s="6">
        <f>LOOKUP(C10,CVSS!$B$2:$B$5,CVSS!$C$2:$C$5)</f>
        <v>0.85</v>
      </c>
      <c r="E10" s="7" t="s">
        <v>14</v>
      </c>
      <c r="F10" s="8">
        <f>LOOKUP(E10,CVSS!$E$3:$E$5,CVSS!$F$3:$F$5)</f>
        <v>0.77</v>
      </c>
      <c r="G10" s="9" t="s">
        <v>16</v>
      </c>
      <c r="H10" s="6">
        <f ca="1">IF(V10=FALSE,LOOKUP(G10,CVSS!$H$3:$H$5,CVSS!$I$3:$I25),LOOKUP(G10,CVSS!$H$15:$I$17))</f>
        <v>0.85</v>
      </c>
      <c r="I10" s="7" t="s">
        <v>16</v>
      </c>
      <c r="J10" s="8">
        <f>LOOKUP(I10,CVSS!$K$3:$L$4)</f>
        <v>0.85</v>
      </c>
      <c r="K10" s="9" t="s">
        <v>14</v>
      </c>
      <c r="L10" s="6">
        <f>LOOKUP(K10,CVSS!$B$10:$C$12)</f>
        <v>0.22</v>
      </c>
      <c r="M10" s="7" t="s">
        <v>16</v>
      </c>
      <c r="N10" s="8">
        <f>LOOKUP(M10,CVSS!$E$10:$F$12)</f>
        <v>0</v>
      </c>
      <c r="O10" s="9" t="s">
        <v>16</v>
      </c>
      <c r="P10" s="6">
        <f>LOOKUP(O10,CVSS!$H$10:$I$12)</f>
        <v>0</v>
      </c>
      <c r="Q10" s="7" t="s">
        <v>18</v>
      </c>
      <c r="R10" s="8">
        <f>LOOKUP(Q10,CVSS!$B$16:$C$20)</f>
        <v>1</v>
      </c>
      <c r="S10" s="9" t="s">
        <v>22</v>
      </c>
      <c r="T10" s="6">
        <f>LOOKUP(S10,CVSS!$E$16:$F$19)</f>
        <v>1</v>
      </c>
      <c r="U10" s="31" t="s">
        <v>32</v>
      </c>
      <c r="V10" s="25" t="b">
        <f>LOOKUP(U10,CVSS!$K$10:$L$11)</f>
        <v>0</v>
      </c>
      <c r="W10" s="21" t="s">
        <v>35</v>
      </c>
      <c r="X10" s="6">
        <f>LOOKUP(W10,CVSS!$B$23:$C$26)</f>
        <v>1</v>
      </c>
      <c r="Y10" s="51" t="s">
        <v>35</v>
      </c>
      <c r="Z10" s="25">
        <f>LOOKUP(Y10,CVSS!$B$23:$C$26)</f>
        <v>1</v>
      </c>
      <c r="AA10" s="21" t="s">
        <v>35</v>
      </c>
      <c r="AB10" s="6">
        <f>LOOKUP(AA10,CVSS!$B$23:$C$26)</f>
        <v>1</v>
      </c>
      <c r="AC10" s="17">
        <f t="shared" ca="1" si="0"/>
        <v>5.3</v>
      </c>
      <c r="AD10" s="17">
        <f t="shared" si="1"/>
        <v>1.4123999999999999</v>
      </c>
      <c r="AE10" s="17">
        <f t="shared" ca="1" si="2"/>
        <v>3.8870427750000003</v>
      </c>
      <c r="AF10" s="44">
        <f t="shared" si="3"/>
        <v>0</v>
      </c>
      <c r="AG10" s="33" t="str">
        <f t="shared" si="4"/>
        <v>None</v>
      </c>
      <c r="AH10" s="38"/>
      <c r="AI10" s="59" t="s">
        <v>50</v>
      </c>
      <c r="AJ10" s="65" t="s">
        <v>50</v>
      </c>
      <c r="AK10" s="59" t="s">
        <v>50</v>
      </c>
      <c r="AL10" s="68">
        <f t="shared" si="5"/>
        <v>0</v>
      </c>
      <c r="AM10" s="85">
        <f t="shared" si="6"/>
        <v>0</v>
      </c>
    </row>
    <row r="11" spans="1:39" x14ac:dyDescent="0.3">
      <c r="A11" s="15">
        <f t="shared" si="7"/>
        <v>9</v>
      </c>
      <c r="B11" s="56"/>
      <c r="C11" s="5" t="s">
        <v>11</v>
      </c>
      <c r="D11" s="6">
        <f>LOOKUP(C11,CVSS!$B$2:$B$5,CVSS!$C$2:$C$5)</f>
        <v>0.85</v>
      </c>
      <c r="E11" s="7" t="s">
        <v>14</v>
      </c>
      <c r="F11" s="8">
        <f>LOOKUP(E11,CVSS!$E$3:$E$5,CVSS!$F$3:$F$5)</f>
        <v>0.77</v>
      </c>
      <c r="G11" s="9" t="s">
        <v>16</v>
      </c>
      <c r="H11" s="6">
        <f ca="1">IF(V11=FALSE,LOOKUP(G11,CVSS!$H$3:$H$5,CVSS!$I$3:$I20),LOOKUP(G11,CVSS!$H$15:$I$17))</f>
        <v>0.85</v>
      </c>
      <c r="I11" s="7" t="s">
        <v>16</v>
      </c>
      <c r="J11" s="8">
        <f>LOOKUP(I11,CVSS!$K$3:$L$4)</f>
        <v>0.85</v>
      </c>
      <c r="K11" s="9" t="s">
        <v>14</v>
      </c>
      <c r="L11" s="6">
        <f>LOOKUP(K11,CVSS!$B$10:$C$12)</f>
        <v>0.22</v>
      </c>
      <c r="M11" s="7" t="s">
        <v>16</v>
      </c>
      <c r="N11" s="8">
        <f>LOOKUP(M11,CVSS!$E$10:$F$12)</f>
        <v>0</v>
      </c>
      <c r="O11" s="9" t="s">
        <v>16</v>
      </c>
      <c r="P11" s="6">
        <f>LOOKUP(O11,CVSS!$H$10:$I$12)</f>
        <v>0</v>
      </c>
      <c r="Q11" s="7" t="s">
        <v>18</v>
      </c>
      <c r="R11" s="8">
        <f>LOOKUP(Q11,CVSS!$B$16:$C$20)</f>
        <v>1</v>
      </c>
      <c r="S11" s="9" t="s">
        <v>22</v>
      </c>
      <c r="T11" s="6">
        <f>LOOKUP(S11,CVSS!$E$16:$F$19)</f>
        <v>1</v>
      </c>
      <c r="U11" s="31" t="s">
        <v>32</v>
      </c>
      <c r="V11" s="25" t="b">
        <f>LOOKUP(U11,CVSS!$K$10:$L$11)</f>
        <v>0</v>
      </c>
      <c r="W11" s="21" t="s">
        <v>35</v>
      </c>
      <c r="X11" s="6">
        <f>LOOKUP(W11,CVSS!$B$23:$C$26)</f>
        <v>1</v>
      </c>
      <c r="Y11" s="51" t="s">
        <v>35</v>
      </c>
      <c r="Z11" s="25">
        <f>LOOKUP(Y11,CVSS!$B$23:$C$26)</f>
        <v>1</v>
      </c>
      <c r="AA11" s="21" t="s">
        <v>35</v>
      </c>
      <c r="AB11" s="6">
        <f>LOOKUP(AA11,CVSS!$B$23:$C$26)</f>
        <v>1</v>
      </c>
      <c r="AC11" s="17">
        <f t="shared" ca="1" si="0"/>
        <v>5.3</v>
      </c>
      <c r="AD11" s="17">
        <f t="shared" si="1"/>
        <v>1.4123999999999999</v>
      </c>
      <c r="AE11" s="17">
        <f t="shared" ca="1" si="2"/>
        <v>3.8870427750000003</v>
      </c>
      <c r="AF11" s="44">
        <f t="shared" si="3"/>
        <v>0</v>
      </c>
      <c r="AG11" s="33" t="str">
        <f t="shared" si="4"/>
        <v>None</v>
      </c>
      <c r="AH11" s="38"/>
      <c r="AI11" s="59" t="s">
        <v>50</v>
      </c>
      <c r="AJ11" s="65" t="s">
        <v>50</v>
      </c>
      <c r="AK11" s="59" t="s">
        <v>50</v>
      </c>
      <c r="AL11" s="68">
        <f t="shared" si="5"/>
        <v>0</v>
      </c>
      <c r="AM11" s="85">
        <f t="shared" si="6"/>
        <v>0</v>
      </c>
    </row>
    <row r="12" spans="1:39" x14ac:dyDescent="0.3">
      <c r="A12" s="15">
        <f t="shared" si="7"/>
        <v>10</v>
      </c>
      <c r="B12" s="56"/>
      <c r="C12" s="5" t="s">
        <v>11</v>
      </c>
      <c r="D12" s="6">
        <f>LOOKUP(C12,CVSS!$B$2:$B$5,CVSS!$C$2:$C$5)</f>
        <v>0.85</v>
      </c>
      <c r="E12" s="7" t="s">
        <v>14</v>
      </c>
      <c r="F12" s="8">
        <f>LOOKUP(E12,CVSS!$E$3:$E$5,CVSS!$F$3:$F$5)</f>
        <v>0.77</v>
      </c>
      <c r="G12" s="9" t="s">
        <v>16</v>
      </c>
      <c r="H12" s="6">
        <f ca="1">IF(V12=FALSE,LOOKUP(G12,CVSS!$H$3:$H$5,CVSS!$I$3:$I22),LOOKUP(G12,CVSS!$H$15:$I$17))</f>
        <v>0.85</v>
      </c>
      <c r="I12" s="7" t="s">
        <v>16</v>
      </c>
      <c r="J12" s="8">
        <f>LOOKUP(I12,CVSS!$K$3:$L$4)</f>
        <v>0.85</v>
      </c>
      <c r="K12" s="9" t="s">
        <v>14</v>
      </c>
      <c r="L12" s="6">
        <f>LOOKUP(K12,CVSS!$B$10:$C$12)</f>
        <v>0.22</v>
      </c>
      <c r="M12" s="7" t="s">
        <v>16</v>
      </c>
      <c r="N12" s="8">
        <f>LOOKUP(M12,CVSS!$E$10:$F$12)</f>
        <v>0</v>
      </c>
      <c r="O12" s="9" t="s">
        <v>16</v>
      </c>
      <c r="P12" s="6">
        <f>LOOKUP(O12,CVSS!$H$10:$I$12)</f>
        <v>0</v>
      </c>
      <c r="Q12" s="7" t="s">
        <v>18</v>
      </c>
      <c r="R12" s="8">
        <f>LOOKUP(Q12,CVSS!$B$16:$C$20)</f>
        <v>1</v>
      </c>
      <c r="S12" s="9" t="s">
        <v>22</v>
      </c>
      <c r="T12" s="6">
        <f>LOOKUP(S12,CVSS!$E$16:$F$19)</f>
        <v>1</v>
      </c>
      <c r="U12" s="31" t="s">
        <v>32</v>
      </c>
      <c r="V12" s="25" t="b">
        <f>LOOKUP(U12,CVSS!$K$10:$L$11)</f>
        <v>0</v>
      </c>
      <c r="W12" s="21" t="s">
        <v>35</v>
      </c>
      <c r="X12" s="6">
        <f>LOOKUP(W12,CVSS!$B$23:$C$26)</f>
        <v>1</v>
      </c>
      <c r="Y12" s="51" t="s">
        <v>35</v>
      </c>
      <c r="Z12" s="25">
        <f>LOOKUP(Y12,CVSS!$B$23:$C$26)</f>
        <v>1</v>
      </c>
      <c r="AA12" s="21" t="s">
        <v>35</v>
      </c>
      <c r="AB12" s="6">
        <f>LOOKUP(AA12,CVSS!$B$23:$C$26)</f>
        <v>1</v>
      </c>
      <c r="AC12" s="17">
        <f t="shared" ca="1" si="0"/>
        <v>5.3</v>
      </c>
      <c r="AD12" s="17">
        <f t="shared" si="1"/>
        <v>1.4123999999999999</v>
      </c>
      <c r="AE12" s="17">
        <f t="shared" ca="1" si="2"/>
        <v>3.8870427750000003</v>
      </c>
      <c r="AF12" s="44">
        <f t="shared" si="3"/>
        <v>0</v>
      </c>
      <c r="AG12" s="33" t="str">
        <f t="shared" si="4"/>
        <v>None</v>
      </c>
      <c r="AH12" s="38"/>
      <c r="AI12" s="59" t="s">
        <v>50</v>
      </c>
      <c r="AJ12" s="65" t="s">
        <v>50</v>
      </c>
      <c r="AK12" s="59" t="s">
        <v>50</v>
      </c>
      <c r="AL12" s="68">
        <f t="shared" si="5"/>
        <v>0</v>
      </c>
      <c r="AM12" s="85">
        <f t="shared" si="6"/>
        <v>0</v>
      </c>
    </row>
    <row r="13" spans="1:39" x14ac:dyDescent="0.3">
      <c r="A13" s="15">
        <f t="shared" si="7"/>
        <v>11</v>
      </c>
      <c r="B13" s="56"/>
      <c r="C13" s="5" t="s">
        <v>11</v>
      </c>
      <c r="D13" s="6">
        <f>LOOKUP(C13,CVSS!$B$2:$B$5,CVSS!$C$2:$C$5)</f>
        <v>0.85</v>
      </c>
      <c r="E13" s="7" t="s">
        <v>14</v>
      </c>
      <c r="F13" s="8">
        <f>LOOKUP(E13,CVSS!$E$3:$E$5,CVSS!$F$3:$F$5)</f>
        <v>0.77</v>
      </c>
      <c r="G13" s="9" t="s">
        <v>16</v>
      </c>
      <c r="H13" s="6">
        <f ca="1">IF(V13=FALSE,LOOKUP(G13,CVSS!$H$3:$H$5,CVSS!$I$3:$I23),LOOKUP(G13,CVSS!$H$15:$I$17))</f>
        <v>0.85</v>
      </c>
      <c r="I13" s="7" t="s">
        <v>16</v>
      </c>
      <c r="J13" s="8">
        <f>LOOKUP(I13,CVSS!$K$3:$L$4)</f>
        <v>0.85</v>
      </c>
      <c r="K13" s="9" t="s">
        <v>14</v>
      </c>
      <c r="L13" s="6">
        <f>LOOKUP(K13,CVSS!$B$10:$C$12)</f>
        <v>0.22</v>
      </c>
      <c r="M13" s="7" t="s">
        <v>16</v>
      </c>
      <c r="N13" s="8">
        <f>LOOKUP(M13,CVSS!$E$10:$F$12)</f>
        <v>0</v>
      </c>
      <c r="O13" s="9" t="s">
        <v>16</v>
      </c>
      <c r="P13" s="6">
        <f>LOOKUP(O13,CVSS!$H$10:$I$12)</f>
        <v>0</v>
      </c>
      <c r="Q13" s="7" t="s">
        <v>18</v>
      </c>
      <c r="R13" s="8">
        <f>LOOKUP(Q13,CVSS!$B$16:$C$20)</f>
        <v>1</v>
      </c>
      <c r="S13" s="9" t="s">
        <v>22</v>
      </c>
      <c r="T13" s="6">
        <f>LOOKUP(S13,CVSS!$E$16:$F$19)</f>
        <v>1</v>
      </c>
      <c r="U13" s="31" t="s">
        <v>32</v>
      </c>
      <c r="V13" s="25" t="b">
        <f>LOOKUP(U13,CVSS!$K$10:$L$11)</f>
        <v>0</v>
      </c>
      <c r="W13" s="21" t="s">
        <v>35</v>
      </c>
      <c r="X13" s="6">
        <f>LOOKUP(W13,CVSS!$B$23:$C$26)</f>
        <v>1</v>
      </c>
      <c r="Y13" s="51" t="s">
        <v>35</v>
      </c>
      <c r="Z13" s="25">
        <f>LOOKUP(Y13,CVSS!$B$23:$C$26)</f>
        <v>1</v>
      </c>
      <c r="AA13" s="21" t="s">
        <v>35</v>
      </c>
      <c r="AB13" s="6">
        <f>LOOKUP(AA13,CVSS!$B$23:$C$26)</f>
        <v>1</v>
      </c>
      <c r="AC13" s="17">
        <f t="shared" ca="1" si="0"/>
        <v>5.3</v>
      </c>
      <c r="AD13" s="17">
        <f t="shared" si="1"/>
        <v>1.4123999999999999</v>
      </c>
      <c r="AE13" s="17">
        <f t="shared" ca="1" si="2"/>
        <v>3.8870427750000003</v>
      </c>
      <c r="AF13" s="44">
        <f t="shared" si="3"/>
        <v>0</v>
      </c>
      <c r="AG13" s="33" t="str">
        <f t="shared" si="4"/>
        <v>None</v>
      </c>
      <c r="AH13" s="38"/>
      <c r="AI13" s="59" t="s">
        <v>50</v>
      </c>
      <c r="AJ13" s="65" t="s">
        <v>50</v>
      </c>
      <c r="AK13" s="59" t="s">
        <v>50</v>
      </c>
      <c r="AL13" s="68">
        <f t="shared" si="5"/>
        <v>0</v>
      </c>
      <c r="AM13" s="85">
        <f t="shared" si="6"/>
        <v>0</v>
      </c>
    </row>
    <row r="14" spans="1:39" x14ac:dyDescent="0.3">
      <c r="A14" s="15">
        <f t="shared" si="7"/>
        <v>12</v>
      </c>
      <c r="B14" s="56"/>
      <c r="C14" s="5" t="s">
        <v>11</v>
      </c>
      <c r="D14" s="6">
        <f>LOOKUP(C14,CVSS!$B$2:$B$5,CVSS!$C$2:$C$5)</f>
        <v>0.85</v>
      </c>
      <c r="E14" s="7" t="s">
        <v>14</v>
      </c>
      <c r="F14" s="8">
        <f>LOOKUP(E14,CVSS!$E$3:$E$5,CVSS!$F$3:$F$5)</f>
        <v>0.77</v>
      </c>
      <c r="G14" s="9" t="s">
        <v>16</v>
      </c>
      <c r="H14" s="6">
        <f ca="1">IF(V14=FALSE,LOOKUP(G14,CVSS!$H$3:$H$5,CVSS!$I$3:$I18),LOOKUP(G14,CVSS!$H$15:$I$17))</f>
        <v>0.85</v>
      </c>
      <c r="I14" s="7" t="s">
        <v>16</v>
      </c>
      <c r="J14" s="8">
        <f>LOOKUP(I14,CVSS!$K$3:$L$4)</f>
        <v>0.85</v>
      </c>
      <c r="K14" s="9" t="s">
        <v>14</v>
      </c>
      <c r="L14" s="6">
        <f>LOOKUP(K14,CVSS!$B$10:$C$12)</f>
        <v>0.22</v>
      </c>
      <c r="M14" s="7" t="s">
        <v>16</v>
      </c>
      <c r="N14" s="8">
        <f>LOOKUP(M14,CVSS!$E$10:$F$12)</f>
        <v>0</v>
      </c>
      <c r="O14" s="9" t="s">
        <v>16</v>
      </c>
      <c r="P14" s="6">
        <f>LOOKUP(O14,CVSS!$H$10:$I$12)</f>
        <v>0</v>
      </c>
      <c r="Q14" s="7" t="s">
        <v>18</v>
      </c>
      <c r="R14" s="8">
        <f>LOOKUP(Q14,CVSS!$B$16:$C$20)</f>
        <v>1</v>
      </c>
      <c r="S14" s="9" t="s">
        <v>22</v>
      </c>
      <c r="T14" s="6">
        <f>LOOKUP(S14,CVSS!$E$16:$F$19)</f>
        <v>1</v>
      </c>
      <c r="U14" s="31" t="s">
        <v>32</v>
      </c>
      <c r="V14" s="25" t="b">
        <f>LOOKUP(U14,CVSS!$K$10:$L$11)</f>
        <v>0</v>
      </c>
      <c r="W14" s="21" t="s">
        <v>35</v>
      </c>
      <c r="X14" s="6">
        <f>LOOKUP(W14,CVSS!$B$23:$C$26)</f>
        <v>1</v>
      </c>
      <c r="Y14" s="51" t="s">
        <v>35</v>
      </c>
      <c r="Z14" s="25">
        <f>LOOKUP(Y14,CVSS!$B$23:$C$26)</f>
        <v>1</v>
      </c>
      <c r="AA14" s="21" t="s">
        <v>35</v>
      </c>
      <c r="AB14" s="6">
        <f>LOOKUP(AA14,CVSS!$B$23:$C$26)</f>
        <v>1</v>
      </c>
      <c r="AC14" s="17">
        <f t="shared" ca="1" si="0"/>
        <v>5.3</v>
      </c>
      <c r="AD14" s="17">
        <f t="shared" si="1"/>
        <v>1.4123999999999999</v>
      </c>
      <c r="AE14" s="17">
        <f t="shared" ca="1" si="2"/>
        <v>3.8870427750000003</v>
      </c>
      <c r="AF14" s="44">
        <f t="shared" si="3"/>
        <v>0</v>
      </c>
      <c r="AG14" s="33" t="str">
        <f t="shared" si="4"/>
        <v>None</v>
      </c>
      <c r="AH14" s="38"/>
      <c r="AI14" s="59" t="s">
        <v>50</v>
      </c>
      <c r="AJ14" s="65" t="s">
        <v>50</v>
      </c>
      <c r="AK14" s="59" t="s">
        <v>50</v>
      </c>
      <c r="AL14" s="68">
        <f t="shared" si="5"/>
        <v>0</v>
      </c>
      <c r="AM14" s="85">
        <f t="shared" si="6"/>
        <v>0</v>
      </c>
    </row>
    <row r="15" spans="1:39" x14ac:dyDescent="0.3">
      <c r="A15" s="15">
        <f t="shared" si="7"/>
        <v>13</v>
      </c>
      <c r="B15" s="56"/>
      <c r="C15" s="5" t="s">
        <v>11</v>
      </c>
      <c r="D15" s="6">
        <f>LOOKUP(C15,CVSS!$B$2:$B$5,CVSS!$C$2:$C$5)</f>
        <v>0.85</v>
      </c>
      <c r="E15" s="7" t="s">
        <v>14</v>
      </c>
      <c r="F15" s="8">
        <f>LOOKUP(E15,CVSS!$E$3:$E$5,CVSS!$F$3:$F$5)</f>
        <v>0.77</v>
      </c>
      <c r="G15" s="9" t="s">
        <v>16</v>
      </c>
      <c r="H15" s="6">
        <f ca="1">IF(V15=FALSE,LOOKUP(G15,CVSS!$H$3:$H$5,CVSS!$I$3:$I13),LOOKUP(G15,CVSS!$H$15:$I$17))</f>
        <v>0.85</v>
      </c>
      <c r="I15" s="7" t="s">
        <v>16</v>
      </c>
      <c r="J15" s="8">
        <f>LOOKUP(I15,CVSS!$K$3:$L$4)</f>
        <v>0.85</v>
      </c>
      <c r="K15" s="9" t="s">
        <v>14</v>
      </c>
      <c r="L15" s="6">
        <f>LOOKUP(K15,CVSS!$B$10:$C$12)</f>
        <v>0.22</v>
      </c>
      <c r="M15" s="7" t="s">
        <v>16</v>
      </c>
      <c r="N15" s="8">
        <f>LOOKUP(M15,CVSS!$E$10:$F$12)</f>
        <v>0</v>
      </c>
      <c r="O15" s="9" t="s">
        <v>16</v>
      </c>
      <c r="P15" s="6">
        <f>LOOKUP(O15,CVSS!$H$10:$I$12)</f>
        <v>0</v>
      </c>
      <c r="Q15" s="7" t="s">
        <v>18</v>
      </c>
      <c r="R15" s="8">
        <f>LOOKUP(Q15,CVSS!$B$16:$C$20)</f>
        <v>1</v>
      </c>
      <c r="S15" s="9" t="s">
        <v>22</v>
      </c>
      <c r="T15" s="6">
        <f>LOOKUP(S15,CVSS!$E$16:$F$19)</f>
        <v>1</v>
      </c>
      <c r="U15" s="31" t="s">
        <v>32</v>
      </c>
      <c r="V15" s="25" t="b">
        <f>LOOKUP(U15,CVSS!$K$10:$L$11)</f>
        <v>0</v>
      </c>
      <c r="W15" s="21" t="s">
        <v>35</v>
      </c>
      <c r="X15" s="6">
        <f>LOOKUP(W15,CVSS!$B$23:$C$26)</f>
        <v>1</v>
      </c>
      <c r="Y15" s="51" t="s">
        <v>35</v>
      </c>
      <c r="Z15" s="25">
        <f>LOOKUP(Y15,CVSS!$B$23:$C$26)</f>
        <v>1</v>
      </c>
      <c r="AA15" s="21" t="s">
        <v>35</v>
      </c>
      <c r="AB15" s="6">
        <f>LOOKUP(AA15,CVSS!$B$23:$C$26)</f>
        <v>1</v>
      </c>
      <c r="AC15" s="17">
        <f t="shared" ca="1" si="0"/>
        <v>5.3</v>
      </c>
      <c r="AD15" s="17">
        <f t="shared" si="1"/>
        <v>1.4123999999999999</v>
      </c>
      <c r="AE15" s="17">
        <f t="shared" ca="1" si="2"/>
        <v>3.8870427750000003</v>
      </c>
      <c r="AF15" s="44">
        <f t="shared" si="3"/>
        <v>0</v>
      </c>
      <c r="AG15" s="33" t="str">
        <f t="shared" si="4"/>
        <v>None</v>
      </c>
      <c r="AH15" s="38"/>
      <c r="AI15" s="59" t="s">
        <v>50</v>
      </c>
      <c r="AJ15" s="65" t="s">
        <v>50</v>
      </c>
      <c r="AK15" s="59" t="s">
        <v>50</v>
      </c>
      <c r="AL15" s="68">
        <f t="shared" si="5"/>
        <v>0</v>
      </c>
      <c r="AM15" s="85">
        <f t="shared" si="6"/>
        <v>0</v>
      </c>
    </row>
    <row r="16" spans="1:39" x14ac:dyDescent="0.3">
      <c r="A16" s="15">
        <f t="shared" si="7"/>
        <v>14</v>
      </c>
      <c r="B16" s="56"/>
      <c r="C16" s="5" t="s">
        <v>11</v>
      </c>
      <c r="D16" s="6">
        <f>LOOKUP(C16,CVSS!$B$2:$B$5,CVSS!$C$2:$C$5)</f>
        <v>0.85</v>
      </c>
      <c r="E16" s="7" t="s">
        <v>14</v>
      </c>
      <c r="F16" s="8">
        <f>LOOKUP(E16,CVSS!$E$3:$E$5,CVSS!$F$3:$F$5)</f>
        <v>0.77</v>
      </c>
      <c r="G16" s="9" t="s">
        <v>16</v>
      </c>
      <c r="H16" s="6">
        <f ca="1">IF(V16=FALSE,LOOKUP(G16,CVSS!$H$3:$H$5,CVSS!$I$3:$I9),LOOKUP(G16,CVSS!$H$15:$I$17))</f>
        <v>0.85</v>
      </c>
      <c r="I16" s="7" t="s">
        <v>16</v>
      </c>
      <c r="J16" s="8">
        <f>LOOKUP(I16,CVSS!$K$3:$L$4)</f>
        <v>0.85</v>
      </c>
      <c r="K16" s="9" t="s">
        <v>14</v>
      </c>
      <c r="L16" s="6">
        <f>LOOKUP(K16,CVSS!$B$10:$C$12)</f>
        <v>0.22</v>
      </c>
      <c r="M16" s="7" t="s">
        <v>16</v>
      </c>
      <c r="N16" s="8">
        <f>LOOKUP(M16,CVSS!$E$10:$F$12)</f>
        <v>0</v>
      </c>
      <c r="O16" s="9" t="s">
        <v>16</v>
      </c>
      <c r="P16" s="6">
        <f>LOOKUP(O16,CVSS!$H$10:$I$12)</f>
        <v>0</v>
      </c>
      <c r="Q16" s="7" t="s">
        <v>18</v>
      </c>
      <c r="R16" s="8">
        <f>LOOKUP(Q16,CVSS!$B$16:$C$20)</f>
        <v>1</v>
      </c>
      <c r="S16" s="9" t="s">
        <v>22</v>
      </c>
      <c r="T16" s="6">
        <f>LOOKUP(S16,CVSS!$E$16:$F$19)</f>
        <v>1</v>
      </c>
      <c r="U16" s="31" t="s">
        <v>32</v>
      </c>
      <c r="V16" s="25" t="b">
        <f>LOOKUP(U16,CVSS!$K$10:$L$11)</f>
        <v>0</v>
      </c>
      <c r="W16" s="21" t="s">
        <v>35</v>
      </c>
      <c r="X16" s="6">
        <f>LOOKUP(W16,CVSS!$B$23:$C$26)</f>
        <v>1</v>
      </c>
      <c r="Y16" s="51" t="s">
        <v>35</v>
      </c>
      <c r="Z16" s="25">
        <f>LOOKUP(Y16,CVSS!$B$23:$C$26)</f>
        <v>1</v>
      </c>
      <c r="AA16" s="21" t="s">
        <v>35</v>
      </c>
      <c r="AB16" s="6">
        <f>LOOKUP(AA16,CVSS!$B$23:$C$26)</f>
        <v>1</v>
      </c>
      <c r="AC16" s="17">
        <f t="shared" ca="1" si="0"/>
        <v>5.3</v>
      </c>
      <c r="AD16" s="17">
        <f>IF(V16=FALSE,6.42*(1-(1-L16*X16)*(1-N16*Z16)*(1-P16*AB16)),7.52 *( (1-(1-L16*X16)*(1-N16*Z16)*(1-P16*AB16)) -0.029) -3.25 *( (1-(1-L16*X16)*(1-N16*Z16)*(1-P16*AB16)) -0.02)^15)</f>
        <v>1.4123999999999999</v>
      </c>
      <c r="AE16" s="17">
        <f t="shared" ca="1" si="2"/>
        <v>3.8870427750000003</v>
      </c>
      <c r="AF16" s="44">
        <f t="shared" si="3"/>
        <v>0</v>
      </c>
      <c r="AG16" s="33" t="str">
        <f t="shared" si="4"/>
        <v>None</v>
      </c>
      <c r="AH16" s="38"/>
      <c r="AI16" s="59" t="s">
        <v>50</v>
      </c>
      <c r="AJ16" s="65" t="s">
        <v>50</v>
      </c>
      <c r="AK16" s="59" t="s">
        <v>50</v>
      </c>
      <c r="AL16" s="68">
        <f t="shared" si="5"/>
        <v>0</v>
      </c>
      <c r="AM16" s="85">
        <f t="shared" si="6"/>
        <v>0</v>
      </c>
    </row>
    <row r="17" spans="1:39" x14ac:dyDescent="0.3">
      <c r="A17" s="15">
        <f t="shared" si="7"/>
        <v>15</v>
      </c>
      <c r="B17" s="56"/>
      <c r="C17" s="5" t="s">
        <v>11</v>
      </c>
      <c r="D17" s="6">
        <f>LOOKUP(C17,CVSS!$B$2:$B$5,CVSS!$C$2:$C$5)</f>
        <v>0.85</v>
      </c>
      <c r="E17" s="7" t="s">
        <v>14</v>
      </c>
      <c r="F17" s="8">
        <f>LOOKUP(E17,CVSS!$E$3:$E$5,CVSS!$F$3:$F$5)</f>
        <v>0.77</v>
      </c>
      <c r="G17" s="9" t="s">
        <v>16</v>
      </c>
      <c r="H17" s="6">
        <f ca="1">IF(V17=FALSE,LOOKUP(G17,CVSS!$H$3:$H$5,CVSS!$I$3:$I15),LOOKUP(G17,CVSS!$H$15:$I$17))</f>
        <v>0.85</v>
      </c>
      <c r="I17" s="7" t="s">
        <v>16</v>
      </c>
      <c r="J17" s="8">
        <f>LOOKUP(I17,CVSS!$K$3:$L$4)</f>
        <v>0.85</v>
      </c>
      <c r="K17" s="9" t="s">
        <v>14</v>
      </c>
      <c r="L17" s="6">
        <f>LOOKUP(K17,CVSS!$B$10:$C$12)</f>
        <v>0.22</v>
      </c>
      <c r="M17" s="7" t="s">
        <v>16</v>
      </c>
      <c r="N17" s="8">
        <f>LOOKUP(M17,CVSS!$E$10:$F$12)</f>
        <v>0</v>
      </c>
      <c r="O17" s="9" t="s">
        <v>16</v>
      </c>
      <c r="P17" s="6">
        <f>LOOKUP(O17,CVSS!$H$10:$I$12)</f>
        <v>0</v>
      </c>
      <c r="Q17" s="7" t="s">
        <v>18</v>
      </c>
      <c r="R17" s="8">
        <f>LOOKUP(Q17,CVSS!$B$16:$C$20)</f>
        <v>1</v>
      </c>
      <c r="S17" s="9" t="s">
        <v>22</v>
      </c>
      <c r="T17" s="6">
        <f>LOOKUP(S17,CVSS!$E$16:$F$19)</f>
        <v>1</v>
      </c>
      <c r="U17" s="31" t="s">
        <v>32</v>
      </c>
      <c r="V17" s="25" t="b">
        <f>LOOKUP(U17,CVSS!$K$10:$L$11)</f>
        <v>0</v>
      </c>
      <c r="W17" s="21" t="s">
        <v>35</v>
      </c>
      <c r="X17" s="6">
        <f>LOOKUP(W17,CVSS!$B$23:$C$26)</f>
        <v>1</v>
      </c>
      <c r="Y17" s="51" t="s">
        <v>35</v>
      </c>
      <c r="Z17" s="25">
        <f>LOOKUP(Y17,CVSS!$B$23:$C$26)</f>
        <v>1</v>
      </c>
      <c r="AA17" s="21" t="s">
        <v>35</v>
      </c>
      <c r="AB17" s="6">
        <f>LOOKUP(AA17,CVSS!$B$23:$C$26)</f>
        <v>1</v>
      </c>
      <c r="AC17" s="17">
        <f t="shared" ca="1" si="0"/>
        <v>5.3</v>
      </c>
      <c r="AD17" s="17">
        <f t="shared" ref="AD17:AD22" si="8">IF(V17=FALSE,6.42*(1-(1-L17*X17)*(1-N17*X17)*(1-P17*X17)),7.52 *( (1-(1-L17*X17)*(1-N17*X17)*(1-P17*X17)) -0.029) -3.25 *( (1-(1-L17*X17)*(1-N17*X17)*(1-P17*X17)) -0.02)^15)</f>
        <v>1.4123999999999999</v>
      </c>
      <c r="AE17" s="17">
        <f t="shared" ca="1" si="2"/>
        <v>3.8870427750000003</v>
      </c>
      <c r="AF17" s="44">
        <f t="shared" si="3"/>
        <v>0</v>
      </c>
      <c r="AG17" s="33" t="str">
        <f t="shared" si="4"/>
        <v>None</v>
      </c>
      <c r="AH17" s="38"/>
      <c r="AI17" s="59" t="s">
        <v>50</v>
      </c>
      <c r="AJ17" s="65" t="s">
        <v>50</v>
      </c>
      <c r="AK17" s="59" t="s">
        <v>50</v>
      </c>
      <c r="AL17" s="68">
        <f t="shared" si="5"/>
        <v>0</v>
      </c>
      <c r="AM17" s="85">
        <f t="shared" si="6"/>
        <v>0</v>
      </c>
    </row>
    <row r="18" spans="1:39" x14ac:dyDescent="0.3">
      <c r="A18" s="15">
        <f t="shared" si="7"/>
        <v>16</v>
      </c>
      <c r="B18" s="57"/>
      <c r="C18" s="5" t="s">
        <v>11</v>
      </c>
      <c r="D18" s="6">
        <f>LOOKUP(C18,CVSS!$B$2:$B$5,CVSS!$C$2:$C$5)</f>
        <v>0.85</v>
      </c>
      <c r="E18" s="7" t="s">
        <v>14</v>
      </c>
      <c r="F18" s="8">
        <f>LOOKUP(E18,CVSS!$E$3:$E$5,CVSS!$F$3:$F$5)</f>
        <v>0.77</v>
      </c>
      <c r="G18" s="9" t="s">
        <v>16</v>
      </c>
      <c r="H18" s="6">
        <f ca="1">IF(V18=FALSE,LOOKUP(G18,CVSS!$H$3:$H$5,CVSS!$I$3:$I8),LOOKUP(G18,CVSS!$H$15:$I$17))</f>
        <v>0.85</v>
      </c>
      <c r="I18" s="7" t="s">
        <v>16</v>
      </c>
      <c r="J18" s="8">
        <f>LOOKUP(I18,CVSS!$K$3:$L$4)</f>
        <v>0.85</v>
      </c>
      <c r="K18" s="9" t="s">
        <v>14</v>
      </c>
      <c r="L18" s="6">
        <f>LOOKUP(K18,CVSS!$B$10:$C$12)</f>
        <v>0.22</v>
      </c>
      <c r="M18" s="7" t="s">
        <v>16</v>
      </c>
      <c r="N18" s="8">
        <f>LOOKUP(M18,CVSS!$E$10:$F$12)</f>
        <v>0</v>
      </c>
      <c r="O18" s="9" t="s">
        <v>16</v>
      </c>
      <c r="P18" s="6">
        <f>LOOKUP(O18,CVSS!$H$10:$I$12)</f>
        <v>0</v>
      </c>
      <c r="Q18" s="7" t="s">
        <v>18</v>
      </c>
      <c r="R18" s="8">
        <f>LOOKUP(Q18,CVSS!$B$16:$C$20)</f>
        <v>1</v>
      </c>
      <c r="S18" s="9" t="s">
        <v>22</v>
      </c>
      <c r="T18" s="6">
        <f>LOOKUP(S18,CVSS!$E$16:$F$19)</f>
        <v>1</v>
      </c>
      <c r="U18" s="31" t="s">
        <v>32</v>
      </c>
      <c r="V18" s="25" t="b">
        <f>LOOKUP(U18,CVSS!$K$10:$L$11)</f>
        <v>0</v>
      </c>
      <c r="W18" s="21" t="s">
        <v>35</v>
      </c>
      <c r="X18" s="6">
        <f>LOOKUP(W18,CVSS!$B$23:$C$26)</f>
        <v>1</v>
      </c>
      <c r="Y18" s="51" t="s">
        <v>35</v>
      </c>
      <c r="Z18" s="25">
        <f>LOOKUP(Y18,CVSS!$B$23:$C$26)</f>
        <v>1</v>
      </c>
      <c r="AA18" s="21" t="s">
        <v>35</v>
      </c>
      <c r="AB18" s="6">
        <f>LOOKUP(AA18,CVSS!$B$23:$C$26)</f>
        <v>1</v>
      </c>
      <c r="AC18" s="17">
        <f t="shared" ca="1" si="0"/>
        <v>5.3</v>
      </c>
      <c r="AD18" s="17">
        <f t="shared" si="8"/>
        <v>1.4123999999999999</v>
      </c>
      <c r="AE18" s="17">
        <f t="shared" ca="1" si="2"/>
        <v>3.8870427750000003</v>
      </c>
      <c r="AF18" s="44">
        <f t="shared" si="3"/>
        <v>0</v>
      </c>
      <c r="AG18" s="33" t="str">
        <f t="shared" si="4"/>
        <v>None</v>
      </c>
      <c r="AH18" s="38"/>
      <c r="AI18" s="59" t="s">
        <v>50</v>
      </c>
      <c r="AJ18" s="65" t="s">
        <v>50</v>
      </c>
      <c r="AK18" s="59" t="s">
        <v>50</v>
      </c>
      <c r="AL18" s="68">
        <f t="shared" si="5"/>
        <v>0</v>
      </c>
      <c r="AM18" s="85">
        <f t="shared" si="6"/>
        <v>0</v>
      </c>
    </row>
    <row r="19" spans="1:39" x14ac:dyDescent="0.3">
      <c r="A19" s="15">
        <f t="shared" si="7"/>
        <v>17</v>
      </c>
      <c r="B19" s="56"/>
      <c r="C19" s="5" t="s">
        <v>11</v>
      </c>
      <c r="D19" s="6">
        <f>LOOKUP(C19,CVSS!$B$2:$B$5,CVSS!$C$2:$C$5)</f>
        <v>0.85</v>
      </c>
      <c r="E19" s="7" t="s">
        <v>14</v>
      </c>
      <c r="F19" s="8">
        <f>LOOKUP(E19,CVSS!$E$3:$E$5,CVSS!$F$3:$F$5)</f>
        <v>0.77</v>
      </c>
      <c r="G19" s="9" t="s">
        <v>16</v>
      </c>
      <c r="H19" s="6">
        <f ca="1">IF(V19=FALSE,LOOKUP(G19,CVSS!$H$3:$H$5,CVSS!$I$3:$I19),LOOKUP(G19,CVSS!$H$15:$I$17))</f>
        <v>0.85</v>
      </c>
      <c r="I19" s="7" t="s">
        <v>16</v>
      </c>
      <c r="J19" s="8">
        <f>LOOKUP(I19,CVSS!$K$3:$L$4)</f>
        <v>0.85</v>
      </c>
      <c r="K19" s="9" t="s">
        <v>14</v>
      </c>
      <c r="L19" s="6">
        <f>LOOKUP(K19,CVSS!$B$10:$C$12)</f>
        <v>0.22</v>
      </c>
      <c r="M19" s="7" t="s">
        <v>16</v>
      </c>
      <c r="N19" s="8">
        <f>LOOKUP(M19,CVSS!$E$10:$F$12)</f>
        <v>0</v>
      </c>
      <c r="O19" s="9" t="s">
        <v>16</v>
      </c>
      <c r="P19" s="6">
        <f>LOOKUP(O19,CVSS!$H$10:$I$12)</f>
        <v>0</v>
      </c>
      <c r="Q19" s="7" t="s">
        <v>18</v>
      </c>
      <c r="R19" s="8">
        <f>LOOKUP(Q19,CVSS!$B$16:$C$20)</f>
        <v>1</v>
      </c>
      <c r="S19" s="9" t="s">
        <v>22</v>
      </c>
      <c r="T19" s="6">
        <f>LOOKUP(S19,CVSS!$E$16:$F$19)</f>
        <v>1</v>
      </c>
      <c r="U19" s="31" t="s">
        <v>32</v>
      </c>
      <c r="V19" s="25" t="b">
        <f>LOOKUP(U19,CVSS!$K$10:$L$11)</f>
        <v>0</v>
      </c>
      <c r="W19" s="21" t="s">
        <v>35</v>
      </c>
      <c r="X19" s="6">
        <f>LOOKUP(W19,CVSS!$B$23:$C$26)</f>
        <v>1</v>
      </c>
      <c r="Y19" s="51" t="s">
        <v>35</v>
      </c>
      <c r="Z19" s="25">
        <f>LOOKUP(Y19,CVSS!$B$23:$C$26)</f>
        <v>1</v>
      </c>
      <c r="AA19" s="21" t="s">
        <v>35</v>
      </c>
      <c r="AB19" s="6">
        <f>LOOKUP(AA19,CVSS!$B$23:$C$26)</f>
        <v>1</v>
      </c>
      <c r="AC19" s="17">
        <f t="shared" ca="1" si="0"/>
        <v>5.3</v>
      </c>
      <c r="AD19" s="17">
        <f t="shared" si="8"/>
        <v>1.4123999999999999</v>
      </c>
      <c r="AE19" s="17">
        <f t="shared" ca="1" si="2"/>
        <v>3.8870427750000003</v>
      </c>
      <c r="AF19" s="44">
        <f t="shared" si="3"/>
        <v>0</v>
      </c>
      <c r="AG19" s="33" t="str">
        <f t="shared" si="4"/>
        <v>None</v>
      </c>
      <c r="AH19" s="38"/>
      <c r="AI19" s="59" t="s">
        <v>50</v>
      </c>
      <c r="AJ19" s="65" t="s">
        <v>50</v>
      </c>
      <c r="AK19" s="59" t="s">
        <v>50</v>
      </c>
      <c r="AL19" s="68">
        <f t="shared" si="5"/>
        <v>0</v>
      </c>
      <c r="AM19" s="85">
        <f t="shared" si="6"/>
        <v>0</v>
      </c>
    </row>
    <row r="20" spans="1:39" x14ac:dyDescent="0.3">
      <c r="A20" s="15">
        <f t="shared" si="7"/>
        <v>18</v>
      </c>
      <c r="B20" s="56"/>
      <c r="C20" s="5" t="s">
        <v>11</v>
      </c>
      <c r="D20" s="6">
        <f>LOOKUP(C20,CVSS!$B$2:$B$5,CVSS!$C$2:$C$5)</f>
        <v>0.85</v>
      </c>
      <c r="E20" s="7" t="s">
        <v>14</v>
      </c>
      <c r="F20" s="8">
        <f>LOOKUP(E20,CVSS!$E$3:$E$5,CVSS!$F$3:$F$5)</f>
        <v>0.77</v>
      </c>
      <c r="G20" s="9" t="s">
        <v>16</v>
      </c>
      <c r="H20" s="6">
        <f ca="1">IF(V20=FALSE,LOOKUP(G20,CVSS!$H$3:$H$5,CVSS!$I$3:$I21),LOOKUP(G20,CVSS!$H$15:$I$17))</f>
        <v>0.85</v>
      </c>
      <c r="I20" s="7" t="s">
        <v>16</v>
      </c>
      <c r="J20" s="8">
        <f>LOOKUP(I20,CVSS!$K$3:$L$4)</f>
        <v>0.85</v>
      </c>
      <c r="K20" s="9" t="s">
        <v>14</v>
      </c>
      <c r="L20" s="6">
        <f>LOOKUP(K20,CVSS!$B$10:$C$12)</f>
        <v>0.22</v>
      </c>
      <c r="M20" s="7" t="s">
        <v>16</v>
      </c>
      <c r="N20" s="8">
        <f>LOOKUP(M20,CVSS!$E$10:$F$12)</f>
        <v>0</v>
      </c>
      <c r="O20" s="9" t="s">
        <v>16</v>
      </c>
      <c r="P20" s="6">
        <f>LOOKUP(O20,CVSS!$H$10:$I$12)</f>
        <v>0</v>
      </c>
      <c r="Q20" s="7" t="s">
        <v>18</v>
      </c>
      <c r="R20" s="8">
        <f>LOOKUP(Q20,CVSS!$B$16:$C$20)</f>
        <v>1</v>
      </c>
      <c r="S20" s="9" t="s">
        <v>22</v>
      </c>
      <c r="T20" s="6">
        <f>LOOKUP(S20,CVSS!$E$16:$F$19)</f>
        <v>1</v>
      </c>
      <c r="U20" s="31" t="s">
        <v>32</v>
      </c>
      <c r="V20" s="25" t="b">
        <f>LOOKUP(U20,CVSS!$K$10:$L$11)</f>
        <v>0</v>
      </c>
      <c r="W20" s="21" t="s">
        <v>35</v>
      </c>
      <c r="X20" s="6">
        <f>LOOKUP(W20,CVSS!$B$23:$C$26)</f>
        <v>1</v>
      </c>
      <c r="Y20" s="51" t="s">
        <v>35</v>
      </c>
      <c r="Z20" s="25">
        <f>LOOKUP(Y20,CVSS!$B$23:$C$26)</f>
        <v>1</v>
      </c>
      <c r="AA20" s="21" t="s">
        <v>35</v>
      </c>
      <c r="AB20" s="6">
        <f>LOOKUP(AA20,CVSS!$B$23:$C$26)</f>
        <v>1</v>
      </c>
      <c r="AC20" s="17">
        <f t="shared" ca="1" si="0"/>
        <v>5.3</v>
      </c>
      <c r="AD20" s="17">
        <f t="shared" si="8"/>
        <v>1.4123999999999999</v>
      </c>
      <c r="AE20" s="17">
        <f t="shared" ca="1" si="2"/>
        <v>3.8870427750000003</v>
      </c>
      <c r="AF20" s="44">
        <f t="shared" si="3"/>
        <v>0</v>
      </c>
      <c r="AG20" s="33" t="str">
        <f t="shared" si="4"/>
        <v>None</v>
      </c>
      <c r="AH20" s="38"/>
      <c r="AI20" s="59" t="s">
        <v>50</v>
      </c>
      <c r="AJ20" s="65" t="s">
        <v>50</v>
      </c>
      <c r="AK20" s="59" t="s">
        <v>50</v>
      </c>
      <c r="AL20" s="68">
        <f t="shared" si="5"/>
        <v>0</v>
      </c>
      <c r="AM20" s="85">
        <f t="shared" si="6"/>
        <v>0</v>
      </c>
    </row>
    <row r="21" spans="1:39" x14ac:dyDescent="0.3">
      <c r="A21" s="15">
        <f t="shared" si="7"/>
        <v>19</v>
      </c>
      <c r="B21" s="56"/>
      <c r="C21" s="5" t="s">
        <v>11</v>
      </c>
      <c r="D21" s="6">
        <f>LOOKUP(C21,CVSS!$B$2:$B$5,CVSS!$C$2:$C$5)</f>
        <v>0.85</v>
      </c>
      <c r="E21" s="7" t="s">
        <v>14</v>
      </c>
      <c r="F21" s="8">
        <f>LOOKUP(E21,CVSS!$E$3:$E$5,CVSS!$F$3:$F$5)</f>
        <v>0.77</v>
      </c>
      <c r="G21" s="9" t="s">
        <v>16</v>
      </c>
      <c r="H21" s="6">
        <f ca="1">IF(V21=FALSE,LOOKUP(G21,CVSS!$H$3:$H$5,CVSS!$I$3:$I10),LOOKUP(G21,CVSS!$H$15:$I$17))</f>
        <v>0.85</v>
      </c>
      <c r="I21" s="7" t="s">
        <v>16</v>
      </c>
      <c r="J21" s="8">
        <f>LOOKUP(I21,CVSS!$K$3:$L$4)</f>
        <v>0.85</v>
      </c>
      <c r="K21" s="9" t="s">
        <v>14</v>
      </c>
      <c r="L21" s="6">
        <f>LOOKUP(K21,CVSS!$B$10:$C$12)</f>
        <v>0.22</v>
      </c>
      <c r="M21" s="7" t="s">
        <v>16</v>
      </c>
      <c r="N21" s="8">
        <f>LOOKUP(M21,CVSS!$E$10:$F$12)</f>
        <v>0</v>
      </c>
      <c r="O21" s="9" t="s">
        <v>16</v>
      </c>
      <c r="P21" s="6">
        <f>LOOKUP(O21,CVSS!$H$10:$I$12)</f>
        <v>0</v>
      </c>
      <c r="Q21" s="7" t="s">
        <v>18</v>
      </c>
      <c r="R21" s="8">
        <f>LOOKUP(Q21,CVSS!$B$16:$C$20)</f>
        <v>1</v>
      </c>
      <c r="S21" s="9" t="s">
        <v>22</v>
      </c>
      <c r="T21" s="6">
        <f>LOOKUP(S21,CVSS!$E$16:$F$19)</f>
        <v>1</v>
      </c>
      <c r="U21" s="31" t="s">
        <v>32</v>
      </c>
      <c r="V21" s="25" t="b">
        <f>LOOKUP(U21,CVSS!$K$10:$L$11)</f>
        <v>0</v>
      </c>
      <c r="W21" s="21" t="s">
        <v>35</v>
      </c>
      <c r="X21" s="6">
        <f>LOOKUP(W21,CVSS!$B$23:$C$26)</f>
        <v>1</v>
      </c>
      <c r="Y21" s="51" t="s">
        <v>35</v>
      </c>
      <c r="Z21" s="25">
        <f>LOOKUP(Y21,CVSS!$B$23:$C$26)</f>
        <v>1</v>
      </c>
      <c r="AA21" s="21" t="s">
        <v>35</v>
      </c>
      <c r="AB21" s="6">
        <f>LOOKUP(AA21,CVSS!$B$23:$C$26)</f>
        <v>1</v>
      </c>
      <c r="AC21" s="17">
        <f t="shared" ca="1" si="0"/>
        <v>5.3</v>
      </c>
      <c r="AD21" s="17">
        <f t="shared" si="8"/>
        <v>1.4123999999999999</v>
      </c>
      <c r="AE21" s="17">
        <f t="shared" ca="1" si="2"/>
        <v>3.8870427750000003</v>
      </c>
      <c r="AF21" s="44">
        <f t="shared" si="3"/>
        <v>0</v>
      </c>
      <c r="AG21" s="33" t="str">
        <f t="shared" si="4"/>
        <v>None</v>
      </c>
      <c r="AH21" s="38"/>
      <c r="AI21" s="59" t="s">
        <v>50</v>
      </c>
      <c r="AJ21" s="65" t="s">
        <v>50</v>
      </c>
      <c r="AK21" s="59" t="s">
        <v>50</v>
      </c>
      <c r="AL21" s="68">
        <f t="shared" si="5"/>
        <v>0</v>
      </c>
      <c r="AM21" s="85">
        <f t="shared" si="6"/>
        <v>0</v>
      </c>
    </row>
    <row r="22" spans="1:39" ht="15" thickBot="1" x14ac:dyDescent="0.35">
      <c r="A22" s="15">
        <f>A21+1</f>
        <v>20</v>
      </c>
      <c r="B22" s="56"/>
      <c r="C22" s="10" t="s">
        <v>11</v>
      </c>
      <c r="D22" s="13">
        <f>LOOKUP(C22,CVSS!$B$2:$B$5,CVSS!$C$2:$C$5)</f>
        <v>0.85</v>
      </c>
      <c r="E22" s="11" t="s">
        <v>14</v>
      </c>
      <c r="F22" s="14">
        <f>LOOKUP(E22,CVSS!$E$3:$E$5,CVSS!$F$3:$F$5)</f>
        <v>0.77</v>
      </c>
      <c r="G22" s="12" t="s">
        <v>16</v>
      </c>
      <c r="H22" s="13">
        <f ca="1">IF(V22=FALSE,LOOKUP(G22,CVSS!$H$3:$H$5,CVSS!$I$3:$I12),LOOKUP(G22,CVSS!$H$15:$I$17))</f>
        <v>0.85</v>
      </c>
      <c r="I22" s="11" t="s">
        <v>16</v>
      </c>
      <c r="J22" s="14">
        <f>LOOKUP(I22,CVSS!$K$3:$L$4)</f>
        <v>0.85</v>
      </c>
      <c r="K22" s="12" t="s">
        <v>14</v>
      </c>
      <c r="L22" s="13">
        <f>LOOKUP(K22,CVSS!$B$10:$C$12)</f>
        <v>0.22</v>
      </c>
      <c r="M22" s="11" t="s">
        <v>16</v>
      </c>
      <c r="N22" s="14">
        <f>LOOKUP(M22,CVSS!$E$10:$F$12)</f>
        <v>0</v>
      </c>
      <c r="O22" s="12" t="s">
        <v>16</v>
      </c>
      <c r="P22" s="13">
        <f>LOOKUP(O22,CVSS!$H$10:$I$12)</f>
        <v>0</v>
      </c>
      <c r="Q22" s="11" t="s">
        <v>18</v>
      </c>
      <c r="R22" s="14">
        <f>LOOKUP(Q22,CVSS!$B$16:$C$20)</f>
        <v>1</v>
      </c>
      <c r="S22" s="12" t="s">
        <v>22</v>
      </c>
      <c r="T22" s="13">
        <f>LOOKUP(S22,CVSS!$E$16:$F$19)</f>
        <v>1</v>
      </c>
      <c r="U22" s="32" t="s">
        <v>32</v>
      </c>
      <c r="V22" s="26" t="b">
        <f>LOOKUP(U22,CVSS!$K$10:$L$11)</f>
        <v>0</v>
      </c>
      <c r="W22" s="22" t="s">
        <v>35</v>
      </c>
      <c r="X22" s="13">
        <f>LOOKUP(W22,CVSS!$B$23:$C$26)</f>
        <v>1</v>
      </c>
      <c r="Y22" s="52" t="s">
        <v>35</v>
      </c>
      <c r="Z22" s="26">
        <f>LOOKUP(Y22,CVSS!$B$23:$C$26)</f>
        <v>1</v>
      </c>
      <c r="AA22" s="22" t="s">
        <v>35</v>
      </c>
      <c r="AB22" s="13">
        <f>LOOKUP(AA22,CVSS!$B$23:$C$26)</f>
        <v>1</v>
      </c>
      <c r="AC22" s="18">
        <f t="shared" ca="1" si="0"/>
        <v>5.3</v>
      </c>
      <c r="AD22" s="18">
        <f t="shared" si="8"/>
        <v>1.4123999999999999</v>
      </c>
      <c r="AE22" s="18">
        <f t="shared" ca="1" si="2"/>
        <v>3.8870427750000003</v>
      </c>
      <c r="AF22" s="45">
        <f t="shared" si="3"/>
        <v>0</v>
      </c>
      <c r="AG22" s="34" t="str">
        <f t="shared" si="4"/>
        <v>None</v>
      </c>
      <c r="AH22" s="62"/>
      <c r="AI22" s="60" t="s">
        <v>50</v>
      </c>
      <c r="AJ22" s="66" t="s">
        <v>50</v>
      </c>
      <c r="AK22" s="60" t="s">
        <v>50</v>
      </c>
      <c r="AL22" s="69">
        <f t="shared" si="5"/>
        <v>0</v>
      </c>
      <c r="AM22" s="86">
        <f t="shared" si="6"/>
        <v>0</v>
      </c>
    </row>
    <row r="23" spans="1:39" ht="6.6" customHeight="1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9"/>
      <c r="AD23" s="49"/>
      <c r="AE23" s="49"/>
      <c r="AF23" s="49"/>
      <c r="AG23" s="48"/>
      <c r="AH23" s="48"/>
      <c r="AI23" s="48"/>
      <c r="AJ23" s="48"/>
      <c r="AK23" s="48"/>
    </row>
    <row r="24" spans="1:39" ht="21" x14ac:dyDescent="0.4">
      <c r="B24" s="37" t="s">
        <v>34</v>
      </c>
      <c r="C24" s="36"/>
    </row>
    <row r="25" spans="1:39" ht="21" x14ac:dyDescent="0.4">
      <c r="B25" s="35">
        <f>SUM($AF$3:$AF$22)</f>
        <v>0</v>
      </c>
      <c r="C25" s="43"/>
      <c r="V25" s="19"/>
      <c r="W25" s="19"/>
      <c r="X25" s="19"/>
      <c r="Y25" s="19"/>
      <c r="Z25" s="19"/>
      <c r="AA25" s="19"/>
      <c r="AB25" s="19"/>
      <c r="AC25" s="80"/>
      <c r="AD25" s="81"/>
      <c r="AE25"/>
      <c r="AF25"/>
    </row>
    <row r="26" spans="1:39" ht="21" customHeight="1" x14ac:dyDescent="0.4">
      <c r="B26" s="58" t="s">
        <v>52</v>
      </c>
      <c r="V26" s="19"/>
      <c r="W26" s="19"/>
      <c r="X26" s="19"/>
      <c r="Y26" s="19"/>
      <c r="Z26" s="19"/>
      <c r="AA26" s="19"/>
      <c r="AB26" s="19"/>
      <c r="AD26"/>
      <c r="AE26"/>
      <c r="AF26"/>
    </row>
    <row r="27" spans="1:39" ht="21" customHeight="1" x14ac:dyDescent="0.4">
      <c r="A27" s="39"/>
      <c r="B27" s="58" t="str">
        <f>SUM(AL3:AL22) &amp; " / " &amp; SUM(AM3:AM22)</f>
        <v>0 / 0</v>
      </c>
      <c r="V27" s="19"/>
      <c r="W27" s="19"/>
      <c r="X27" s="19"/>
      <c r="Y27" s="19"/>
      <c r="Z27" s="19"/>
      <c r="AA27" s="19"/>
      <c r="AB27" s="19"/>
      <c r="AD27"/>
      <c r="AE27"/>
      <c r="AF27"/>
    </row>
    <row r="28" spans="1:39" ht="4.2" customHeight="1" x14ac:dyDescent="0.3">
      <c r="A28" s="39"/>
    </row>
    <row r="29" spans="1:39" ht="15.6" x14ac:dyDescent="0.3">
      <c r="A29" s="39"/>
      <c r="B29" s="40" t="str">
        <f>"High: "&amp;COUNTIF($AG$3:$AG$22,"High")</f>
        <v>High: 0</v>
      </c>
    </row>
    <row r="30" spans="1:39" ht="15.6" x14ac:dyDescent="0.3">
      <c r="B30" s="41" t="str">
        <f>"Moderate: "&amp;COUNTIF($AG$3:$AG$22,"Moderate")</f>
        <v>Moderate: 0</v>
      </c>
    </row>
    <row r="31" spans="1:39" ht="15.6" x14ac:dyDescent="0.3">
      <c r="B31" s="42" t="str">
        <f>"Low: " &amp;COUNTIF($AG$3:$AG$22,"Low")</f>
        <v>Low: 0</v>
      </c>
    </row>
  </sheetData>
  <sortState ref="B3:AK22">
    <sortCondition descending="1" ref="AF3:AF22"/>
  </sortState>
  <mergeCells count="19">
    <mergeCell ref="AC25:AD25"/>
    <mergeCell ref="U2:V2"/>
    <mergeCell ref="Q2:R2"/>
    <mergeCell ref="S2:T2"/>
    <mergeCell ref="Y2:Z2"/>
    <mergeCell ref="AA2:AB2"/>
    <mergeCell ref="W2:X2"/>
    <mergeCell ref="U1:AB1"/>
    <mergeCell ref="Q1:T1"/>
    <mergeCell ref="C1:J1"/>
    <mergeCell ref="K1:P1"/>
    <mergeCell ref="AI1:AM1"/>
    <mergeCell ref="M2:N2"/>
    <mergeCell ref="O2:P2"/>
    <mergeCell ref="C2:D2"/>
    <mergeCell ref="E2:F2"/>
    <mergeCell ref="G2:H2"/>
    <mergeCell ref="I2:J2"/>
    <mergeCell ref="K2:L2"/>
  </mergeCells>
  <conditionalFormatting sqref="AG3:AG22 AI3:AK22">
    <cfRule type="containsText" dxfId="2" priority="16" operator="containsText" text="Low">
      <formula>NOT(ISERROR(SEARCH("Low",AG3)))</formula>
    </cfRule>
    <cfRule type="containsText" dxfId="1" priority="17" operator="containsText" text="Moderate">
      <formula>NOT(ISERROR(SEARCH("Moderate",AG3)))</formula>
    </cfRule>
    <cfRule type="containsText" dxfId="0" priority="18" operator="containsText" text="High">
      <formula>NOT(ISERROR(SEARCH("High",AG3)))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ortByRiskRatingScore">
                <anchor moveWithCells="1">
                  <from>
                    <xdr:col>2</xdr:col>
                    <xdr:colOff>327660</xdr:colOff>
                    <xdr:row>23</xdr:row>
                    <xdr:rowOff>167640</xdr:rowOff>
                  </from>
                  <to>
                    <xdr:col>8</xdr:col>
                    <xdr:colOff>137160</xdr:colOff>
                    <xdr:row>24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CVSS!$E$3:$E$4</xm:f>
          </x14:formula1>
          <xm:sqref>E3:E22</xm:sqref>
        </x14:dataValidation>
        <x14:dataValidation type="list" allowBlank="1" showInputMessage="1" showErrorMessage="1">
          <x14:formula1>
            <xm:f>CVSS!$H$3:$H$5</xm:f>
          </x14:formula1>
          <xm:sqref>G3:G22</xm:sqref>
        </x14:dataValidation>
        <x14:dataValidation type="list" allowBlank="1" showInputMessage="1" showErrorMessage="1">
          <x14:formula1>
            <xm:f>CVSS!$K$3:$K$4</xm:f>
          </x14:formula1>
          <xm:sqref>I3:I22</xm:sqref>
        </x14:dataValidation>
        <x14:dataValidation type="list" allowBlank="1" showInputMessage="1" showErrorMessage="1">
          <x14:formula1>
            <xm:f>CVSS!$B$10:$B$12</xm:f>
          </x14:formula1>
          <xm:sqref>K3:K22</xm:sqref>
        </x14:dataValidation>
        <x14:dataValidation type="list" allowBlank="1" showInputMessage="1" showErrorMessage="1">
          <x14:formula1>
            <xm:f>CVSS!$E$10:$E$12</xm:f>
          </x14:formula1>
          <xm:sqref>M3:M22</xm:sqref>
        </x14:dataValidation>
        <x14:dataValidation type="list" allowBlank="1" showInputMessage="1" showErrorMessage="1">
          <x14:formula1>
            <xm:f>CVSS!$H$10:$H$12</xm:f>
          </x14:formula1>
          <xm:sqref>O3:O22</xm:sqref>
        </x14:dataValidation>
        <x14:dataValidation type="list" allowBlank="1" showInputMessage="1" showErrorMessage="1">
          <x14:formula1>
            <xm:f>CVSS!$B$16:$B$20</xm:f>
          </x14:formula1>
          <xm:sqref>Q3:Q22</xm:sqref>
        </x14:dataValidation>
        <x14:dataValidation type="list" allowBlank="1" showInputMessage="1" showErrorMessage="1">
          <x14:formula1>
            <xm:f>CVSS!$E$16:$E$19</xm:f>
          </x14:formula1>
          <xm:sqref>S3:S22</xm:sqref>
        </x14:dataValidation>
        <x14:dataValidation type="list" allowBlank="1" showInputMessage="1" showErrorMessage="1">
          <x14:formula1>
            <xm:f>CVSS!$B$2:$B$5</xm:f>
          </x14:formula1>
          <xm:sqref>C3:C22</xm:sqref>
        </x14:dataValidation>
        <x14:dataValidation type="list" allowBlank="1" showInputMessage="1" showErrorMessage="1">
          <x14:formula1>
            <xm:f>CVSS!$K$10:$K$11</xm:f>
          </x14:formula1>
          <xm:sqref>U3:U22</xm:sqref>
        </x14:dataValidation>
        <x14:dataValidation type="list" allowBlank="1" showInputMessage="1" showErrorMessage="1">
          <x14:formula1>
            <xm:f>CVSS!$B$23:$B$26</xm:f>
          </x14:formula1>
          <xm:sqref>AA3:AA22 Y3:Y22 W3:W22</xm:sqref>
        </x14:dataValidation>
        <x14:dataValidation type="list" allowBlank="1" showInputMessage="1" showErrorMessage="1">
          <x14:formula1>
            <xm:f>CVSS!$E$23:$E$24</xm:f>
          </x14:formula1>
          <xm:sqref>AI3:AK22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36"/>
  <sheetViews>
    <sheetView topLeftCell="A7" workbookViewId="0">
      <selection activeCell="E25" sqref="E25"/>
    </sheetView>
  </sheetViews>
  <sheetFormatPr defaultRowHeight="14.4" x14ac:dyDescent="0.3"/>
  <cols>
    <col min="2" max="2" width="18.88671875" bestFit="1" customWidth="1"/>
    <col min="5" max="5" width="16.33203125" bestFit="1" customWidth="1"/>
    <col min="8" max="8" width="15.5546875" bestFit="1" customWidth="1"/>
    <col min="11" max="11" width="10.109375" bestFit="1" customWidth="1"/>
  </cols>
  <sheetData>
    <row r="2" spans="2:12" x14ac:dyDescent="0.3">
      <c r="B2" s="1" t="s">
        <v>29</v>
      </c>
      <c r="C2" s="1">
        <v>0.62</v>
      </c>
      <c r="E2" s="1"/>
      <c r="F2" s="1"/>
      <c r="H2" s="1"/>
      <c r="I2" s="1"/>
      <c r="K2" s="1"/>
      <c r="L2" s="1"/>
    </row>
    <row r="3" spans="2:12" x14ac:dyDescent="0.3">
      <c r="B3" s="1" t="s">
        <v>12</v>
      </c>
      <c r="C3" s="1">
        <v>0.55000000000000004</v>
      </c>
      <c r="E3" s="1" t="s">
        <v>15</v>
      </c>
      <c r="F3" s="1">
        <v>0.44</v>
      </c>
      <c r="H3" s="1" t="s">
        <v>15</v>
      </c>
      <c r="I3" s="1">
        <v>0.27</v>
      </c>
      <c r="K3" s="1" t="s">
        <v>16</v>
      </c>
      <c r="L3" s="1">
        <v>0.85</v>
      </c>
    </row>
    <row r="4" spans="2:12" x14ac:dyDescent="0.3">
      <c r="B4" s="1" t="s">
        <v>11</v>
      </c>
      <c r="C4" s="1">
        <v>0.85</v>
      </c>
      <c r="E4" s="1" t="s">
        <v>14</v>
      </c>
      <c r="F4" s="1">
        <v>0.77</v>
      </c>
      <c r="H4" s="1" t="s">
        <v>14</v>
      </c>
      <c r="I4" s="1">
        <v>0.62</v>
      </c>
      <c r="K4" s="1" t="s">
        <v>17</v>
      </c>
      <c r="L4" s="1">
        <v>0.62</v>
      </c>
    </row>
    <row r="5" spans="2:12" x14ac:dyDescent="0.3">
      <c r="B5" s="1" t="s">
        <v>13</v>
      </c>
      <c r="C5" s="1">
        <v>0.2</v>
      </c>
      <c r="H5" s="1" t="s">
        <v>16</v>
      </c>
      <c r="I5" s="1">
        <v>0.85</v>
      </c>
    </row>
    <row r="6" spans="2:12" x14ac:dyDescent="0.3">
      <c r="H6" s="3"/>
      <c r="I6" s="3"/>
    </row>
    <row r="9" spans="2:12" x14ac:dyDescent="0.3">
      <c r="B9" s="2"/>
      <c r="C9" s="2"/>
      <c r="E9" s="2"/>
      <c r="F9" s="2"/>
      <c r="H9" s="2"/>
      <c r="I9" s="2"/>
      <c r="K9" s="2"/>
      <c r="L9" s="2"/>
    </row>
    <row r="10" spans="2:12" x14ac:dyDescent="0.3">
      <c r="B10" s="2" t="s">
        <v>15</v>
      </c>
      <c r="C10" s="2">
        <v>0.56000000000000005</v>
      </c>
      <c r="E10" s="2" t="s">
        <v>15</v>
      </c>
      <c r="F10" s="2">
        <v>0.56000000000000005</v>
      </c>
      <c r="H10" s="2" t="s">
        <v>15</v>
      </c>
      <c r="I10" s="2">
        <v>0.56000000000000005</v>
      </c>
      <c r="K10" s="2" t="s">
        <v>33</v>
      </c>
      <c r="L10" s="2" t="b">
        <v>1</v>
      </c>
    </row>
    <row r="11" spans="2:12" x14ac:dyDescent="0.3">
      <c r="B11" s="2" t="s">
        <v>14</v>
      </c>
      <c r="C11" s="2">
        <v>0.22</v>
      </c>
      <c r="E11" s="2" t="s">
        <v>14</v>
      </c>
      <c r="F11" s="2">
        <v>0.22</v>
      </c>
      <c r="H11" s="2" t="s">
        <v>14</v>
      </c>
      <c r="I11" s="2">
        <v>0.22</v>
      </c>
      <c r="K11" s="2" t="s">
        <v>32</v>
      </c>
      <c r="L11" s="2" t="b">
        <v>0</v>
      </c>
    </row>
    <row r="12" spans="2:12" x14ac:dyDescent="0.3">
      <c r="B12" s="2" t="s">
        <v>16</v>
      </c>
      <c r="C12" s="2">
        <v>0</v>
      </c>
      <c r="E12" s="2" t="s">
        <v>16</v>
      </c>
      <c r="F12" s="2">
        <v>0</v>
      </c>
      <c r="H12" s="2" t="s">
        <v>16</v>
      </c>
      <c r="I12" s="2">
        <v>0</v>
      </c>
      <c r="K12" s="2"/>
      <c r="L12" s="2"/>
    </row>
    <row r="15" spans="2:12" x14ac:dyDescent="0.3">
      <c r="B15" s="28"/>
      <c r="C15" s="28"/>
      <c r="E15" s="28"/>
      <c r="F15" s="28"/>
      <c r="H15" s="27" t="s">
        <v>15</v>
      </c>
      <c r="I15" s="27">
        <v>0.5</v>
      </c>
    </row>
    <row r="16" spans="2:12" x14ac:dyDescent="0.3">
      <c r="B16" s="28" t="s">
        <v>19</v>
      </c>
      <c r="C16" s="28">
        <v>0.97</v>
      </c>
      <c r="E16" s="28" t="s">
        <v>22</v>
      </c>
      <c r="F16" s="28">
        <v>1</v>
      </c>
      <c r="H16" s="27" t="s">
        <v>14</v>
      </c>
      <c r="I16" s="27">
        <v>0.68</v>
      </c>
    </row>
    <row r="17" spans="2:9" x14ac:dyDescent="0.3">
      <c r="B17" s="28" t="s">
        <v>15</v>
      </c>
      <c r="C17" s="28">
        <v>1</v>
      </c>
      <c r="E17" s="28" t="s">
        <v>18</v>
      </c>
      <c r="F17" s="28">
        <v>1</v>
      </c>
      <c r="H17" s="27" t="s">
        <v>16</v>
      </c>
      <c r="I17" s="27">
        <v>0.85</v>
      </c>
    </row>
    <row r="18" spans="2:9" x14ac:dyDescent="0.3">
      <c r="B18" s="28" t="s">
        <v>18</v>
      </c>
      <c r="C18" s="28">
        <v>1</v>
      </c>
      <c r="E18" s="28" t="s">
        <v>23</v>
      </c>
      <c r="F18" s="28">
        <v>0.96</v>
      </c>
    </row>
    <row r="19" spans="2:9" x14ac:dyDescent="0.3">
      <c r="B19" s="28" t="s">
        <v>20</v>
      </c>
      <c r="C19" s="28">
        <v>0.94</v>
      </c>
      <c r="E19" s="28" t="s">
        <v>24</v>
      </c>
      <c r="F19" s="28">
        <v>0.92</v>
      </c>
    </row>
    <row r="20" spans="2:9" x14ac:dyDescent="0.3">
      <c r="B20" s="28" t="s">
        <v>21</v>
      </c>
      <c r="C20" s="28">
        <v>0.91</v>
      </c>
    </row>
    <row r="23" spans="2:9" x14ac:dyDescent="0.3">
      <c r="B23" s="29" t="s">
        <v>15</v>
      </c>
      <c r="C23" s="29">
        <v>1.5</v>
      </c>
      <c r="E23" s="64" t="s">
        <v>50</v>
      </c>
    </row>
    <row r="24" spans="2:9" x14ac:dyDescent="0.3">
      <c r="B24" s="29" t="s">
        <v>14</v>
      </c>
      <c r="C24" s="29">
        <v>0.5</v>
      </c>
      <c r="E24" s="64" t="s">
        <v>49</v>
      </c>
    </row>
    <row r="25" spans="2:9" x14ac:dyDescent="0.3">
      <c r="B25" s="29" t="s">
        <v>35</v>
      </c>
      <c r="C25" s="29">
        <v>1</v>
      </c>
    </row>
    <row r="26" spans="2:9" x14ac:dyDescent="0.3">
      <c r="B26" s="29" t="s">
        <v>18</v>
      </c>
      <c r="C26" s="29">
        <v>1</v>
      </c>
    </row>
    <row r="30" spans="2:9" x14ac:dyDescent="0.3">
      <c r="B30" t="s">
        <v>36</v>
      </c>
    </row>
    <row r="31" spans="2:9" x14ac:dyDescent="0.3">
      <c r="B31" t="s">
        <v>37</v>
      </c>
    </row>
    <row r="32" spans="2:9" x14ac:dyDescent="0.3">
      <c r="B32" t="s">
        <v>38</v>
      </c>
    </row>
    <row r="35" spans="2:2" x14ac:dyDescent="0.3">
      <c r="B35" t="s">
        <v>39</v>
      </c>
    </row>
    <row r="36" spans="2:2" x14ac:dyDescent="0.3">
      <c r="B36" t="s">
        <v>40</v>
      </c>
    </row>
  </sheetData>
  <sortState ref="B23:C26">
    <sortCondition ref="B23:B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CVSS Rating</vt:lpstr>
      <vt:lpstr>CVSS</vt:lpstr>
    </vt:vector>
  </TitlesOfParts>
  <Company>AAA Insurance Exchange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Todd Benson</dc:creator>
  <cp:lastModifiedBy>Todd Benson</cp:lastModifiedBy>
  <dcterms:created xsi:type="dcterms:W3CDTF">2016-07-08T20:35:31Z</dcterms:created>
  <dcterms:modified xsi:type="dcterms:W3CDTF">2016-07-29T17:54:03Z</dcterms:modified>
</cp:coreProperties>
</file>